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any\Downloads\R\nepal_floods_general\data\"/>
    </mc:Choice>
  </mc:AlternateContent>
  <xr:revisionPtr revIDLastSave="0" documentId="13_ncr:1_{AE967ABF-2A86-4304-9DE2-FA7AF82F4C90}" xr6:coauthVersionLast="47" xr6:coauthVersionMax="47" xr10:uidLastSave="{00000000-0000-0000-0000-000000000000}"/>
  <bookViews>
    <workbookView xWindow="-96" yWindow="-96" windowWidth="23232" windowHeight="13152" firstSheet="16" activeTab="19" xr2:uid="{00000000-000D-0000-FFFF-FFFF00000000}"/>
  </bookViews>
  <sheets>
    <sheet name="Flash Appeal - Affected Pop" sheetId="1" r:id="rId1"/>
    <sheet name="Summary_Affected Wards" sheetId="2" r:id="rId2"/>
    <sheet name="Uttargaya RM_wardwise" sheetId="3" r:id="rId3"/>
    <sheet name="Gosaikunda RM-wardwise" sheetId="4" r:id="rId4"/>
    <sheet name="Aamachhodingmo RM" sheetId="5" r:id="rId5"/>
    <sheet name="Kalika RM" sheetId="6" r:id="rId6"/>
    <sheet name="Tarakheshwar RM" sheetId="7" r:id="rId7"/>
    <sheet name="Kispang Rural Mun-wardwise" sheetId="8" r:id="rId8"/>
    <sheet name="Bidur Mun_wardwise" sheetId="9" r:id="rId9"/>
    <sheet name="Belkotgadhi Mun-wardwise" sheetId="10" r:id="rId10"/>
    <sheet name="TripurasundariRM-wardwise" sheetId="11" state="hidden" r:id="rId11"/>
    <sheet name="Galchhi RM-wardwise" sheetId="12" r:id="rId12"/>
    <sheet name="Gajuri RM_wardwise" sheetId="13" r:id="rId13"/>
    <sheet name="Benighat RerangRM_wardwise" sheetId="14" r:id="rId14"/>
    <sheet name="Siddhalek RM" sheetId="15" r:id="rId15"/>
    <sheet name="Gandaki RM" sheetId="16" r:id="rId16"/>
    <sheet name="Devghat RM-wardwise" sheetId="17" r:id="rId17"/>
    <sheet name="Aanbu Khaireni RM-ward-wise" sheetId="18" r:id="rId18"/>
    <sheet name="SahidLakhan RM" sheetId="19" r:id="rId19"/>
    <sheet name="Ichchha Kamana RM-wardwise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dBlgVozsEHMqwddTvdpW/EuNd0ABndq/KSFyTRoIucg="/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C5" i="6"/>
  <c r="C6" i="6"/>
  <c r="C7" i="6"/>
  <c r="C8" i="6"/>
  <c r="D5" i="5"/>
  <c r="D6" i="5"/>
  <c r="D7" i="5"/>
  <c r="D8" i="5"/>
  <c r="C5" i="5"/>
  <c r="C6" i="5"/>
  <c r="C7" i="5"/>
  <c r="C8" i="5"/>
  <c r="D12" i="20"/>
  <c r="C12" i="20"/>
  <c r="B12" i="20"/>
  <c r="D10" i="20"/>
  <c r="C10" i="20"/>
  <c r="D9" i="20"/>
  <c r="C9" i="20"/>
  <c r="D8" i="20"/>
  <c r="C8" i="20"/>
  <c r="D7" i="20"/>
  <c r="C7" i="20"/>
  <c r="D6" i="20"/>
  <c r="C6" i="20"/>
  <c r="D5" i="20"/>
  <c r="C5" i="20"/>
  <c r="D4" i="20"/>
  <c r="C4" i="20"/>
  <c r="D15" i="19"/>
  <c r="C15" i="19"/>
  <c r="B15" i="19"/>
  <c r="D12" i="19"/>
  <c r="C12" i="19"/>
  <c r="D11" i="19"/>
  <c r="C11" i="19"/>
  <c r="D10" i="19"/>
  <c r="C10" i="19"/>
  <c r="D9" i="19"/>
  <c r="C9" i="19"/>
  <c r="D8" i="19"/>
  <c r="C8" i="19"/>
  <c r="D7" i="19"/>
  <c r="C7" i="19"/>
  <c r="D6" i="19"/>
  <c r="C6" i="19"/>
  <c r="D5" i="19"/>
  <c r="C5" i="19"/>
  <c r="D4" i="19"/>
  <c r="C4" i="19"/>
  <c r="D11" i="18"/>
  <c r="C11" i="18"/>
  <c r="B11" i="18"/>
  <c r="D9" i="18"/>
  <c r="C9" i="18"/>
  <c r="D8" i="18"/>
  <c r="C8" i="18"/>
  <c r="D7" i="18"/>
  <c r="C7" i="18"/>
  <c r="D6" i="18"/>
  <c r="C6" i="18"/>
  <c r="D5" i="18"/>
  <c r="C5" i="18"/>
  <c r="D4" i="18"/>
  <c r="C4" i="18"/>
  <c r="D10" i="17"/>
  <c r="C10" i="17"/>
  <c r="B10" i="17"/>
  <c r="D8" i="17"/>
  <c r="C8" i="17"/>
  <c r="D7" i="17"/>
  <c r="C7" i="17"/>
  <c r="D6" i="17"/>
  <c r="C6" i="17"/>
  <c r="D5" i="17"/>
  <c r="C5" i="17"/>
  <c r="D4" i="17"/>
  <c r="C4" i="17"/>
  <c r="D13" i="16"/>
  <c r="C13" i="16"/>
  <c r="B13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D12" i="15"/>
  <c r="C12" i="15"/>
  <c r="B12" i="15"/>
  <c r="D10" i="15"/>
  <c r="C10" i="15"/>
  <c r="D9" i="15"/>
  <c r="C9" i="15"/>
  <c r="D8" i="15"/>
  <c r="C8" i="15"/>
  <c r="D7" i="15"/>
  <c r="C7" i="15"/>
  <c r="D6" i="15"/>
  <c r="C6" i="15"/>
  <c r="D5" i="15"/>
  <c r="C5" i="15"/>
  <c r="D4" i="15"/>
  <c r="C4" i="15"/>
  <c r="D15" i="14"/>
  <c r="C15" i="14"/>
  <c r="B15" i="14"/>
  <c r="D13" i="14"/>
  <c r="C13" i="14"/>
  <c r="D12" i="14"/>
  <c r="C12" i="14"/>
  <c r="D11" i="14"/>
  <c r="C11" i="14"/>
  <c r="D10" i="14"/>
  <c r="C10" i="14"/>
  <c r="D9" i="14"/>
  <c r="C9" i="14"/>
  <c r="D8" i="14"/>
  <c r="C8" i="14"/>
  <c r="D7" i="14"/>
  <c r="C7" i="14"/>
  <c r="D6" i="14"/>
  <c r="C6" i="14"/>
  <c r="D5" i="14"/>
  <c r="C5" i="14"/>
  <c r="D4" i="14"/>
  <c r="C4" i="14"/>
  <c r="D13" i="13"/>
  <c r="C13" i="13"/>
  <c r="B13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13" i="12"/>
  <c r="C13" i="12"/>
  <c r="B13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18" i="10"/>
  <c r="C18" i="10"/>
  <c r="B18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19" i="9"/>
  <c r="C19" i="9"/>
  <c r="B19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8" i="8"/>
  <c r="C8" i="8"/>
  <c r="D7" i="8"/>
  <c r="C7" i="8"/>
  <c r="D6" i="8"/>
  <c r="C6" i="8"/>
  <c r="D5" i="8"/>
  <c r="C5" i="8"/>
  <c r="D4" i="8"/>
  <c r="C4" i="8"/>
  <c r="D11" i="7"/>
  <c r="C11" i="7"/>
  <c r="B11" i="7"/>
  <c r="D9" i="7"/>
  <c r="C9" i="7"/>
  <c r="D8" i="7"/>
  <c r="C8" i="7"/>
  <c r="D7" i="7"/>
  <c r="C7" i="7"/>
  <c r="D6" i="7"/>
  <c r="C6" i="7"/>
  <c r="D5" i="7"/>
  <c r="C5" i="7"/>
  <c r="D4" i="7"/>
  <c r="C4" i="7"/>
  <c r="D11" i="6"/>
  <c r="C11" i="6"/>
  <c r="B11" i="6"/>
  <c r="D4" i="6"/>
  <c r="C4" i="6"/>
  <c r="D10" i="5"/>
  <c r="C10" i="5"/>
  <c r="B10" i="5"/>
  <c r="D4" i="5"/>
  <c r="C4" i="5"/>
  <c r="D11" i="4"/>
  <c r="C11" i="4"/>
  <c r="B11" i="4"/>
  <c r="D9" i="4"/>
  <c r="C9" i="4"/>
  <c r="D8" i="4"/>
  <c r="C8" i="4"/>
  <c r="D7" i="4"/>
  <c r="C7" i="4"/>
  <c r="D6" i="4"/>
  <c r="C6" i="4"/>
  <c r="D5" i="4"/>
  <c r="C5" i="4"/>
  <c r="D4" i="4"/>
  <c r="C4" i="4"/>
  <c r="D10" i="3"/>
  <c r="C10" i="3"/>
  <c r="B10" i="3"/>
  <c r="D8" i="3"/>
  <c r="C8" i="3"/>
  <c r="D7" i="3"/>
  <c r="C7" i="3"/>
  <c r="D6" i="3"/>
  <c r="C6" i="3"/>
  <c r="D5" i="3"/>
  <c r="C5" i="3"/>
  <c r="D4" i="3"/>
  <c r="C4" i="3"/>
  <c r="K22" i="2"/>
  <c r="J22" i="2"/>
  <c r="I22" i="2"/>
  <c r="G22" i="2"/>
  <c r="F22" i="2"/>
  <c r="E22" i="2"/>
</calcChain>
</file>

<file path=xl/sharedStrings.xml><?xml version="1.0" encoding="utf-8"?>
<sst xmlns="http://schemas.openxmlformats.org/spreadsheetml/2006/main" count="1729" uniqueCount="148">
  <si>
    <t>District</t>
  </si>
  <si>
    <r>
      <rPr>
        <b/>
        <sz val="12"/>
        <color theme="1"/>
        <rFont val="Calibri"/>
      </rPr>
      <t xml:space="preserve">Age group wise population projection of Bagmati province, Rasuwa district and </t>
    </r>
    <r>
      <rPr>
        <b/>
        <sz val="12"/>
        <color rgb="FFFF0000"/>
        <rFont val="Calibri"/>
      </rPr>
      <t>Gosaikunda Gaunpalika of year 2026</t>
    </r>
  </si>
  <si>
    <r>
      <rPr>
        <b/>
        <sz val="12"/>
        <color theme="1"/>
        <rFont val="Calibri"/>
      </rPr>
      <t>Age group wise population projection of Bagmati province, Rasuwa district and</t>
    </r>
    <r>
      <rPr>
        <b/>
        <sz val="12"/>
        <color rgb="FFFF0000"/>
        <rFont val="Calibri"/>
      </rPr>
      <t xml:space="preserve"> Uttargaya Gaunpalika of year 2026</t>
    </r>
  </si>
  <si>
    <t>Palika</t>
  </si>
  <si>
    <t>Municipality</t>
  </si>
  <si>
    <t>adm3_name</t>
  </si>
  <si>
    <t>Population (Projected for 2026)</t>
  </si>
  <si>
    <t>Affected wards #</t>
  </si>
  <si>
    <t>adm3_pcode</t>
  </si>
  <si>
    <t>Estimated Affected Population</t>
  </si>
  <si>
    <t>Ward No</t>
  </si>
  <si>
    <t>Emergency Declared</t>
  </si>
  <si>
    <t>Total</t>
  </si>
  <si>
    <t>Total projected population in affected wards</t>
  </si>
  <si>
    <t>Chitawan</t>
  </si>
  <si>
    <t>SN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</si>
  <si>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</si>
  <si>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</si>
  <si>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</si>
  <si>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</si>
  <si>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</si>
  <si>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</si>
  <si>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</si>
  <si>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</si>
  <si>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</si>
  <si>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</si>
  <si>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</si>
  <si>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</si>
  <si>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</si>
  <si>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</si>
  <si>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</si>
  <si>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</si>
  <si>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</si>
  <si>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</si>
  <si>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</si>
  <si>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95+</t>
  </si>
  <si>
    <t>Ichchha Kamana</t>
  </si>
  <si>
    <t>Male</t>
  </si>
  <si>
    <t>Female</t>
  </si>
  <si>
    <t>NP0335401</t>
  </si>
  <si>
    <t>Dhading</t>
  </si>
  <si>
    <t>Remarks</t>
  </si>
  <si>
    <t>Benighat Rorang</t>
  </si>
  <si>
    <t>Uttargaya Rural Municipality</t>
  </si>
  <si>
    <t>Rasuwa</t>
  </si>
  <si>
    <t>NP0330408</t>
  </si>
  <si>
    <t>Yes</t>
  </si>
  <si>
    <t>Gajuri</t>
  </si>
  <si>
    <t>NP0330409</t>
  </si>
  <si>
    <t>Galchhi</t>
  </si>
  <si>
    <t>NP0330410</t>
  </si>
  <si>
    <t>1,2,3,4, and 5</t>
  </si>
  <si>
    <t xml:space="preserve">5 yr age group-sex, wardwise available </t>
  </si>
  <si>
    <t>Siddhalek</t>
  </si>
  <si>
    <t>NP0330407</t>
  </si>
  <si>
    <t>Gosaikunda Rural Municipality</t>
  </si>
  <si>
    <t>Gorkha</t>
  </si>
  <si>
    <t>2,5,1 and 3</t>
  </si>
  <si>
    <t>Gandaki</t>
  </si>
  <si>
    <t>Kalika Rural Municipality</t>
  </si>
  <si>
    <t>NP0436409</t>
  </si>
  <si>
    <t>Shahid Lakhan</t>
  </si>
  <si>
    <t>Aamachhodingmo Rural Municipality</t>
  </si>
  <si>
    <t>NP0436408</t>
  </si>
  <si>
    <t>Bidur Municipality</t>
  </si>
  <si>
    <t>Nuwakot</t>
  </si>
  <si>
    <t>1,4,5,9, and 10</t>
  </si>
  <si>
    <t>Belkotgadhi Municipality</t>
  </si>
  <si>
    <t>Belkotgadhi</t>
  </si>
  <si>
    <t>5,7, and 8</t>
  </si>
  <si>
    <t>Kispang Rural Municipality</t>
  </si>
  <si>
    <t>Tarakheshwar Rural Municipality</t>
  </si>
  <si>
    <t>4 and 2</t>
  </si>
  <si>
    <t>NP0328302</t>
  </si>
  <si>
    <t>Gajuri Rural Municipality</t>
  </si>
  <si>
    <t>1,2,5 and 6</t>
  </si>
  <si>
    <t>Bidur</t>
  </si>
  <si>
    <t>NP0328301</t>
  </si>
  <si>
    <t>Galchi Rural Municipality</t>
  </si>
  <si>
    <t>6,4,8,1 and 2</t>
  </si>
  <si>
    <t>Kispang</t>
  </si>
  <si>
    <t>Benighat Rerang Rural Municipality</t>
  </si>
  <si>
    <t>NP0328402</t>
  </si>
  <si>
    <t>3,5,7,9 and 10</t>
  </si>
  <si>
    <t>Siddhakek Rural Municipality</t>
  </si>
  <si>
    <t>Tarakeshwor</t>
  </si>
  <si>
    <t>3,4,6 and 7</t>
  </si>
  <si>
    <t>NP0328403</t>
  </si>
  <si>
    <t>Gandaki Rural Municipality</t>
  </si>
  <si>
    <t>1,2,6,7 and 8</t>
  </si>
  <si>
    <t>Gosaikunda</t>
  </si>
  <si>
    <t>Devghat Rural Municipality</t>
  </si>
  <si>
    <t>Tanahun</t>
  </si>
  <si>
    <t>4 and 5</t>
  </si>
  <si>
    <t>NP0329402</t>
  </si>
  <si>
    <t>Aanbu Khaireni Rural Municipality</t>
  </si>
  <si>
    <t>Kalika</t>
  </si>
  <si>
    <t>NP0329404</t>
  </si>
  <si>
    <t>Sahid Lakhan Rural Municipality</t>
  </si>
  <si>
    <t>2,3,5 and 6</t>
  </si>
  <si>
    <t>Aama chhodingmo</t>
  </si>
  <si>
    <t>Aamachhodingmo</t>
  </si>
  <si>
    <t>Icchha Kamana Rural Municipality</t>
  </si>
  <si>
    <t>NP0329401</t>
  </si>
  <si>
    <t>3 and 4</t>
  </si>
  <si>
    <t>Uttargaya</t>
  </si>
  <si>
    <t>NP0329403</t>
  </si>
  <si>
    <t>Tanahu</t>
  </si>
  <si>
    <t>Aanbu Khaireni</t>
  </si>
  <si>
    <t>NP0440405</t>
  </si>
  <si>
    <t>Devghat</t>
  </si>
  <si>
    <t>NP0440406</t>
  </si>
  <si>
    <t>Source: Based on Population Projections, 2021-2051 (https://censusresults.nsonepal.gov.np/population-projection)</t>
  </si>
  <si>
    <t>Total (1,2,3,4 and 5)</t>
  </si>
  <si>
    <t>Total (1,2,3 and 5)</t>
  </si>
  <si>
    <r>
      <rPr>
        <b/>
        <sz val="12"/>
        <color theme="1"/>
        <rFont val="Calibri"/>
      </rPr>
      <t xml:space="preserve">Age group wise population projection of Bagmati province, Rasuwa district and </t>
    </r>
    <r>
      <rPr>
        <b/>
        <sz val="12"/>
        <color rgb="FFFF0000"/>
        <rFont val="Calibri"/>
      </rPr>
      <t>Aamachhodingmo Gaunpalika</t>
    </r>
    <r>
      <rPr>
        <b/>
        <sz val="12"/>
        <color theme="1"/>
        <rFont val="Calibri"/>
      </rPr>
      <t xml:space="preserve"> of year 2026</t>
    </r>
  </si>
  <si>
    <r>
      <rPr>
        <b/>
        <sz val="12"/>
        <color theme="1"/>
        <rFont val="Calibri"/>
      </rPr>
      <t xml:space="preserve">Age group wise population projection of Bagmati province, Rasuwa district and </t>
    </r>
    <r>
      <rPr>
        <b/>
        <sz val="12"/>
        <color rgb="FFFF0000"/>
        <rFont val="Calibri"/>
      </rPr>
      <t>Kalika Gaunpalika</t>
    </r>
    <r>
      <rPr>
        <b/>
        <sz val="12"/>
        <color theme="1"/>
        <rFont val="Calibri"/>
      </rPr>
      <t xml:space="preserve"> of year 2026</t>
    </r>
  </si>
  <si>
    <t xml:space="preserve">Female </t>
  </si>
  <si>
    <r>
      <rPr>
        <b/>
        <sz val="12"/>
        <color theme="1"/>
        <rFont val="Calibri"/>
      </rPr>
      <t xml:space="preserve">Age group wise population projection of Bagmati province, Nuwakot district and </t>
    </r>
    <r>
      <rPr>
        <b/>
        <sz val="12"/>
        <color rgb="FFFF0000"/>
        <rFont val="Calibri"/>
      </rPr>
      <t>Tarakeshwor Gaunpalika</t>
    </r>
    <r>
      <rPr>
        <b/>
        <sz val="12"/>
        <color theme="1"/>
        <rFont val="Calibri"/>
      </rPr>
      <t xml:space="preserve"> of year 2026</t>
    </r>
  </si>
  <si>
    <t xml:space="preserve">Total </t>
  </si>
  <si>
    <t>Total (1)</t>
  </si>
  <si>
    <t xml:space="preserve">Total (wards 2 and 4) </t>
  </si>
  <si>
    <r>
      <rPr>
        <b/>
        <sz val="12"/>
        <color theme="1"/>
        <rFont val="Calibri"/>
      </rPr>
      <t xml:space="preserve">Age group wise population projection of Bagmati province, Nuwakot district and </t>
    </r>
    <r>
      <rPr>
        <b/>
        <sz val="12"/>
        <color rgb="FFFF0000"/>
        <rFont val="Calibri"/>
      </rPr>
      <t>Kispang Gaunpalika</t>
    </r>
    <r>
      <rPr>
        <b/>
        <sz val="12"/>
        <color theme="1"/>
        <rFont val="Calibri"/>
      </rPr>
      <t xml:space="preserve"> of year 2026</t>
    </r>
  </si>
  <si>
    <r>
      <rPr>
        <b/>
        <sz val="12"/>
        <color theme="1"/>
        <rFont val="Calibri"/>
      </rPr>
      <t xml:space="preserve">Age group wise population projection of Bagmati province, Nuwakot district and </t>
    </r>
    <r>
      <rPr>
        <b/>
        <sz val="12"/>
        <color rgb="FFFF0000"/>
        <rFont val="Calibri"/>
      </rPr>
      <t>Bidur Municipality of year 2026</t>
    </r>
  </si>
  <si>
    <t>Total (Ward 5)</t>
  </si>
  <si>
    <t xml:space="preserve">Male </t>
  </si>
  <si>
    <r>
      <rPr>
        <b/>
        <sz val="12"/>
        <color theme="1"/>
        <rFont val="Calibri"/>
      </rPr>
      <t xml:space="preserve">Age group wise population projection of Bagmati province, Nuwakot district and </t>
    </r>
    <r>
      <rPr>
        <b/>
        <sz val="12"/>
        <color rgb="FFFF0000"/>
        <rFont val="Calibri"/>
      </rPr>
      <t>Belkotgadhi Municipality</t>
    </r>
    <r>
      <rPr>
        <b/>
        <sz val="12"/>
        <color theme="1"/>
        <rFont val="Calibri"/>
      </rPr>
      <t xml:space="preserve"> of year 2026</t>
    </r>
  </si>
  <si>
    <r>
      <rPr>
        <b/>
        <sz val="12"/>
        <color theme="1"/>
        <rFont val="Calibri"/>
      </rPr>
      <t xml:space="preserve">Age group wise population projection of Bagmati province, Dhading district and </t>
    </r>
    <r>
      <rPr>
        <b/>
        <sz val="12"/>
        <color rgb="FFFF0000"/>
        <rFont val="Calibri"/>
      </rPr>
      <t>Tripurasundari Gaunpalika of year 2026</t>
    </r>
  </si>
  <si>
    <t xml:space="preserve">Total (1,4,5,9,10) </t>
  </si>
  <si>
    <t>Total (wards 5,7 and 8)</t>
  </si>
  <si>
    <r>
      <rPr>
        <b/>
        <sz val="12"/>
        <color theme="1"/>
        <rFont val="Calibri"/>
      </rPr>
      <t xml:space="preserve">Age group wise population projection of Bagmati province, Dhading district and </t>
    </r>
    <r>
      <rPr>
        <b/>
        <sz val="12"/>
        <color rgb="FFFF0000"/>
        <rFont val="Calibri"/>
      </rPr>
      <t xml:space="preserve">Galchhi Gaunpalika </t>
    </r>
    <r>
      <rPr>
        <b/>
        <sz val="12"/>
        <color theme="1"/>
        <rFont val="Calibri"/>
      </rPr>
      <t>of year 2026</t>
    </r>
  </si>
  <si>
    <t>Total (wards 1, 2, 4,6,8)</t>
  </si>
  <si>
    <r>
      <rPr>
        <b/>
        <sz val="12"/>
        <color theme="1"/>
        <rFont val="Calibri"/>
      </rPr>
      <t xml:space="preserve">Age group wise population projection of Bagmati province, Dhading district and </t>
    </r>
    <r>
      <rPr>
        <b/>
        <sz val="12"/>
        <color rgb="FFFF0000"/>
        <rFont val="Calibri"/>
      </rPr>
      <t>Gajuri Gaunpalika</t>
    </r>
    <r>
      <rPr>
        <b/>
        <sz val="12"/>
        <color theme="1"/>
        <rFont val="Calibri"/>
      </rPr>
      <t xml:space="preserve"> of year 2026</t>
    </r>
  </si>
  <si>
    <r>
      <rPr>
        <b/>
        <sz val="12"/>
        <color theme="1"/>
        <rFont val="Calibri"/>
      </rPr>
      <t xml:space="preserve">Age group wise population projection of Bagmati province, Dhading district and </t>
    </r>
    <r>
      <rPr>
        <b/>
        <sz val="12"/>
        <color rgb="FFFF0000"/>
        <rFont val="Calibri"/>
      </rPr>
      <t>Benighat Rorang Gaunpalika</t>
    </r>
    <r>
      <rPr>
        <b/>
        <sz val="12"/>
        <color theme="1"/>
        <rFont val="Calibri"/>
      </rPr>
      <t xml:space="preserve"> of year 2026</t>
    </r>
  </si>
  <si>
    <r>
      <rPr>
        <b/>
        <sz val="12"/>
        <color theme="1"/>
        <rFont val="Calibri"/>
      </rPr>
      <t xml:space="preserve">Age group wise population projection of Bagmati province, Dhading district and </t>
    </r>
    <r>
      <rPr>
        <b/>
        <sz val="12"/>
        <color rgb="FFFF0000"/>
        <rFont val="Calibri"/>
      </rPr>
      <t xml:space="preserve">Siddhalek Gaunpalika of </t>
    </r>
    <r>
      <rPr>
        <b/>
        <sz val="12"/>
        <color theme="1"/>
        <rFont val="Calibri"/>
      </rPr>
      <t>year 2026</t>
    </r>
  </si>
  <si>
    <t>Total (wards 1,2,5, 6)</t>
  </si>
  <si>
    <t>Total (wards 3,4,6,7)</t>
  </si>
  <si>
    <t>Total (wards 3,5,7,9,10)</t>
  </si>
  <si>
    <r>
      <rPr>
        <b/>
        <sz val="12"/>
        <color theme="1"/>
        <rFont val="Calibri"/>
      </rPr>
      <t xml:space="preserve">Age group wise population projection of Gandaki province, Gorkha district and </t>
    </r>
    <r>
      <rPr>
        <b/>
        <sz val="12"/>
        <color rgb="FFFF0000"/>
        <rFont val="Calibri"/>
      </rPr>
      <t>Gandaki Gaunpalika</t>
    </r>
    <r>
      <rPr>
        <b/>
        <sz val="12"/>
        <color theme="1"/>
        <rFont val="Calibri"/>
      </rPr>
      <t xml:space="preserve"> of year 2026</t>
    </r>
  </si>
  <si>
    <t>Total (wards 1,2,6,7,8)</t>
  </si>
  <si>
    <r>
      <rPr>
        <b/>
        <sz val="12"/>
        <color theme="1"/>
        <rFont val="Calibri"/>
      </rPr>
      <t xml:space="preserve">Age group wise population projection of Gandaki province, Tanahu district and </t>
    </r>
    <r>
      <rPr>
        <b/>
        <sz val="12"/>
        <color rgb="FFFF0000"/>
        <rFont val="Calibri"/>
      </rPr>
      <t xml:space="preserve">Devghat Gaunpalika </t>
    </r>
    <r>
      <rPr>
        <b/>
        <sz val="12"/>
        <color theme="1"/>
        <rFont val="Calibri"/>
      </rPr>
      <t>of year 2026</t>
    </r>
  </si>
  <si>
    <r>
      <rPr>
        <b/>
        <sz val="12"/>
        <color theme="1"/>
        <rFont val="Calibri"/>
      </rPr>
      <t xml:space="preserve">Age group wise population projection of Gandaki province, Tanahu district and </t>
    </r>
    <r>
      <rPr>
        <b/>
        <sz val="12"/>
        <color rgb="FFFF0000"/>
        <rFont val="Calibri"/>
      </rPr>
      <t>Aanbu Khaireni Gaunpalika</t>
    </r>
    <r>
      <rPr>
        <b/>
        <sz val="12"/>
        <color theme="1"/>
        <rFont val="Calibri"/>
      </rPr>
      <t xml:space="preserve"> of year 2026</t>
    </r>
  </si>
  <si>
    <r>
      <rPr>
        <b/>
        <sz val="12"/>
        <color theme="1"/>
        <rFont val="Calibri"/>
      </rPr>
      <t xml:space="preserve">Age group wise population projection of Gandaki province, Gorkha district and </t>
    </r>
    <r>
      <rPr>
        <b/>
        <sz val="12"/>
        <color rgb="FFFF0000"/>
        <rFont val="Calibri"/>
      </rPr>
      <t xml:space="preserve">Shahid Lakhan Gaunpalika </t>
    </r>
    <r>
      <rPr>
        <b/>
        <sz val="12"/>
        <color theme="1"/>
        <rFont val="Calibri"/>
      </rPr>
      <t>of year 2026</t>
    </r>
  </si>
  <si>
    <t xml:space="preserve">Total (wards 4 , 5) </t>
  </si>
  <si>
    <t>Total (wards 4,5))</t>
  </si>
  <si>
    <t>Total (wards 2,3,5 and 6)</t>
  </si>
  <si>
    <r>
      <rPr>
        <b/>
        <sz val="12"/>
        <color theme="1"/>
        <rFont val="Calibri"/>
      </rPr>
      <t>Age group wise population projection of Bagmati province, Chitawan district and</t>
    </r>
    <r>
      <rPr>
        <b/>
        <sz val="12"/>
        <color rgb="FFFF0000"/>
        <rFont val="Calibri"/>
      </rPr>
      <t xml:space="preserve"> Ichchha Kamana Gaunpalika</t>
    </r>
    <r>
      <rPr>
        <b/>
        <sz val="12"/>
        <color theme="1"/>
        <rFont val="Calibri"/>
      </rPr>
      <t xml:space="preserve"> of year 2026</t>
    </r>
  </si>
  <si>
    <t>Total (wards 3 and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</si>
</sst>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Aptos Narrow"/>
    </font>
    <font>
      <b/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Arial"/>
    </font>
    <font>
      <sz val="11"/>
      <color rgb="FFFFFFFF"/>
      <name val="Aptos Narrow"/>
    </font>
    <font>
      <sz val="11"/>
      <color theme="1"/>
      <name val="Aptos Narrow"/>
    </font>
    <font>
      <sz val="11"/>
      <color theme="1"/>
      <name val="Calibri"/>
      <scheme val="minor"/>
    </font>
    <font>
      <sz val="11"/>
      <color rgb="FFE97132"/>
      <name val="Aptos Narrow"/>
    </font>
    <font>
      <sz val="11"/>
      <color rgb="FFFF0000"/>
      <name val="Calibri"/>
    </font>
    <font>
      <sz val="11"/>
      <color rgb="FFFF0000"/>
      <name val="Aptos Narrow"/>
    </font>
    <font>
      <sz val="11"/>
      <color theme="1"/>
      <name val="Arial"/>
    </font>
    <font>
      <i/>
      <sz val="11"/>
      <color theme="1"/>
      <name val="Calibri"/>
    </font>
    <font>
      <b/>
      <sz val="11"/>
      <color rgb="FFFF0000"/>
      <name val="Calibri"/>
    </font>
    <font>
      <b/>
      <sz val="12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/>
    <xf numFmtId="0" fontId="8" fillId="0" borderId="9" xfId="0" applyFont="1" applyBorder="1"/>
    <xf numFmtId="1" fontId="8" fillId="0" borderId="9" xfId="0" applyNumberFormat="1" applyFont="1" applyBorder="1"/>
    <xf numFmtId="0" fontId="3" fillId="3" borderId="10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164" fontId="8" fillId="0" borderId="9" xfId="0" applyNumberFormat="1" applyFont="1" applyBorder="1" applyAlignment="1">
      <alignment horizontal="right"/>
    </xf>
    <xf numFmtId="0" fontId="8" fillId="0" borderId="0" xfId="0" applyFont="1"/>
    <xf numFmtId="0" fontId="3" fillId="3" borderId="12" xfId="0" applyFont="1" applyFill="1" applyBorder="1" applyAlignment="1">
      <alignment horizontal="center" vertical="center"/>
    </xf>
    <xf numFmtId="0" fontId="10" fillId="0" borderId="9" xfId="0" applyFont="1" applyBorder="1"/>
    <xf numFmtId="0" fontId="3" fillId="0" borderId="0" xfId="0" applyFont="1" applyAlignment="1">
      <alignment horizontal="center" vertical="center"/>
    </xf>
    <xf numFmtId="1" fontId="10" fillId="0" borderId="9" xfId="0" applyNumberFormat="1" applyFont="1" applyBorder="1"/>
    <xf numFmtId="0" fontId="9" fillId="0" borderId="0" xfId="0" applyFont="1"/>
    <xf numFmtId="0" fontId="8" fillId="4" borderId="1" xfId="0" applyFont="1" applyFill="1" applyBorder="1" applyAlignment="1">
      <alignment wrapText="1"/>
    </xf>
    <xf numFmtId="0" fontId="1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wrapText="1"/>
    </xf>
    <xf numFmtId="164" fontId="1" fillId="0" borderId="0" xfId="0" applyNumberFormat="1" applyFont="1" applyAlignment="1">
      <alignment horizontal="center" vertical="center"/>
    </xf>
    <xf numFmtId="0" fontId="12" fillId="0" borderId="9" xfId="0" applyFont="1" applyBorder="1"/>
    <xf numFmtId="1" fontId="12" fillId="0" borderId="9" xfId="0" applyNumberFormat="1" applyFont="1" applyBorder="1"/>
    <xf numFmtId="0" fontId="8" fillId="6" borderId="1" xfId="0" applyFont="1" applyFill="1" applyBorder="1" applyAlignment="1">
      <alignment wrapText="1"/>
    </xf>
    <xf numFmtId="0" fontId="8" fillId="7" borderId="1" xfId="0" applyFont="1" applyFill="1" applyBorder="1" applyAlignment="1">
      <alignment wrapText="1"/>
    </xf>
    <xf numFmtId="0" fontId="3" fillId="3" borderId="10" xfId="0" applyFont="1" applyFill="1" applyBorder="1" applyAlignment="1">
      <alignment horizontal="right"/>
    </xf>
    <xf numFmtId="0" fontId="3" fillId="3" borderId="10" xfId="0" applyFont="1" applyFill="1" applyBorder="1"/>
    <xf numFmtId="0" fontId="13" fillId="0" borderId="0" xfId="0" applyFont="1"/>
    <xf numFmtId="164" fontId="3" fillId="3" borderId="10" xfId="0" applyNumberFormat="1" applyFont="1" applyFill="1" applyBorder="1"/>
    <xf numFmtId="164" fontId="8" fillId="0" borderId="0" xfId="0" applyNumberFormat="1" applyFont="1"/>
    <xf numFmtId="164" fontId="3" fillId="3" borderId="10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14" fillId="0" borderId="0" xfId="0" applyFont="1"/>
    <xf numFmtId="10" fontId="1" fillId="0" borderId="0" xfId="0" applyNumberFormat="1" applyFont="1" applyAlignment="1">
      <alignment horizontal="center"/>
    </xf>
    <xf numFmtId="0" fontId="15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3" fillId="3" borderId="2" xfId="0" applyFont="1" applyFill="1" applyBorder="1" applyAlignment="1">
      <alignment horizontal="center" vertical="center"/>
    </xf>
    <xf numFmtId="0" fontId="5" fillId="0" borderId="8" xfId="0" applyFont="1" applyBorder="1"/>
    <xf numFmtId="0" fontId="3" fillId="3" borderId="3" xfId="0" applyFont="1" applyFill="1" applyBorder="1" applyAlignment="1">
      <alignment vertical="center"/>
    </xf>
    <xf numFmtId="0" fontId="5" fillId="0" borderId="4" xfId="0" applyFont="1" applyBorder="1"/>
    <xf numFmtId="0" fontId="5" fillId="0" borderId="5" xfId="0" applyFont="1" applyBorder="1"/>
    <xf numFmtId="0" fontId="1" fillId="0" borderId="6" xfId="0" applyFont="1" applyBorder="1" applyAlignment="1">
      <alignment horizontal="center" vertical="center"/>
    </xf>
    <xf numFmtId="0" fontId="5" fillId="0" borderId="11" xfId="0" applyFont="1" applyBorder="1"/>
    <xf numFmtId="0" fontId="3" fillId="0" borderId="7" xfId="0" applyFont="1" applyBorder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4.41796875" defaultRowHeight="15" customHeight="1" x14ac:dyDescent="0.55000000000000004"/>
  <cols>
    <col min="1" max="26" width="24" customWidth="1"/>
  </cols>
  <sheetData>
    <row r="1" spans="1:26" x14ac:dyDescent="0.55000000000000004">
      <c r="A1" s="2" t="s">
        <v>0</v>
      </c>
      <c r="B1" s="2" t="s">
        <v>4</v>
      </c>
      <c r="C1" s="3" t="s">
        <v>5</v>
      </c>
      <c r="D1" s="3" t="s">
        <v>8</v>
      </c>
      <c r="E1" s="5" t="s">
        <v>9</v>
      </c>
      <c r="F1" s="7" t="s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</row>
    <row r="2" spans="1:26" x14ac:dyDescent="0.55000000000000004">
      <c r="A2" s="11" t="s">
        <v>14</v>
      </c>
      <c r="B2" s="12" t="s">
        <v>36</v>
      </c>
      <c r="C2" s="14" t="s">
        <v>36</v>
      </c>
      <c r="D2" s="14" t="s">
        <v>39</v>
      </c>
      <c r="E2" s="15">
        <v>6560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6" x14ac:dyDescent="0.55000000000000004">
      <c r="A3" s="18" t="s">
        <v>40</v>
      </c>
      <c r="B3" s="20" t="s">
        <v>42</v>
      </c>
      <c r="C3" s="22" t="s">
        <v>42</v>
      </c>
      <c r="D3" s="22" t="s">
        <v>45</v>
      </c>
      <c r="E3" s="15">
        <v>11313</v>
      </c>
      <c r="F3" s="16" t="s">
        <v>46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6" x14ac:dyDescent="0.55000000000000004">
      <c r="A4" s="18" t="s">
        <v>40</v>
      </c>
      <c r="B4" s="20" t="s">
        <v>47</v>
      </c>
      <c r="C4" s="22" t="s">
        <v>47</v>
      </c>
      <c r="D4" s="22" t="s">
        <v>48</v>
      </c>
      <c r="E4" s="15">
        <v>7991</v>
      </c>
      <c r="F4" s="16" t="s">
        <v>46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6" x14ac:dyDescent="0.55000000000000004">
      <c r="A5" s="18" t="s">
        <v>40</v>
      </c>
      <c r="B5" s="20" t="s">
        <v>49</v>
      </c>
      <c r="C5" s="22" t="s">
        <v>49</v>
      </c>
      <c r="D5" s="22" t="s">
        <v>50</v>
      </c>
      <c r="E5" s="15">
        <v>6537</v>
      </c>
      <c r="F5" s="16" t="s">
        <v>46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6" x14ac:dyDescent="0.55000000000000004">
      <c r="A6" s="18" t="s">
        <v>40</v>
      </c>
      <c r="B6" s="20" t="s">
        <v>53</v>
      </c>
      <c r="C6" s="22" t="s">
        <v>53</v>
      </c>
      <c r="D6" s="22" t="s">
        <v>54</v>
      </c>
      <c r="E6" s="15">
        <v>3352</v>
      </c>
      <c r="F6" s="16" t="s">
        <v>46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6" x14ac:dyDescent="0.55000000000000004">
      <c r="A7" s="18" t="s">
        <v>56</v>
      </c>
      <c r="B7" s="20" t="s">
        <v>58</v>
      </c>
      <c r="C7" s="26" t="s">
        <v>58</v>
      </c>
      <c r="D7" s="26" t="s">
        <v>60</v>
      </c>
      <c r="E7" s="15">
        <v>2686</v>
      </c>
      <c r="F7" s="16" t="s">
        <v>46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6" x14ac:dyDescent="0.55000000000000004">
      <c r="A8" s="11" t="s">
        <v>56</v>
      </c>
      <c r="B8" s="12" t="s">
        <v>61</v>
      </c>
      <c r="C8" s="26" t="s">
        <v>61</v>
      </c>
      <c r="D8" s="26" t="s">
        <v>63</v>
      </c>
      <c r="E8" s="15">
        <v>886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6" x14ac:dyDescent="0.55000000000000004">
      <c r="A9" s="28" t="s">
        <v>65</v>
      </c>
      <c r="B9" s="29" t="s">
        <v>68</v>
      </c>
      <c r="C9" s="30" t="s">
        <v>68</v>
      </c>
      <c r="D9" s="30" t="s">
        <v>73</v>
      </c>
      <c r="E9" s="15">
        <v>5832</v>
      </c>
      <c r="F9" s="16" t="s">
        <v>46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6" x14ac:dyDescent="0.55000000000000004">
      <c r="A10" s="28" t="s">
        <v>65</v>
      </c>
      <c r="B10" s="29" t="s">
        <v>76</v>
      </c>
      <c r="C10" s="30" t="s">
        <v>76</v>
      </c>
      <c r="D10" s="30" t="s">
        <v>77</v>
      </c>
      <c r="E10" s="15">
        <v>25354</v>
      </c>
      <c r="F10" s="16" t="s">
        <v>46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6" x14ac:dyDescent="0.55000000000000004">
      <c r="A11" s="28" t="s">
        <v>65</v>
      </c>
      <c r="B11" s="29" t="s">
        <v>80</v>
      </c>
      <c r="C11" s="30" t="s">
        <v>80</v>
      </c>
      <c r="D11" s="30" t="s">
        <v>82</v>
      </c>
      <c r="E11" s="15">
        <v>1701</v>
      </c>
      <c r="F11" s="16" t="s">
        <v>46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6" x14ac:dyDescent="0.55000000000000004">
      <c r="A12" s="28" t="s">
        <v>65</v>
      </c>
      <c r="B12" s="29" t="s">
        <v>85</v>
      </c>
      <c r="C12" s="30" t="s">
        <v>85</v>
      </c>
      <c r="D12" s="30" t="s">
        <v>87</v>
      </c>
      <c r="E12" s="15">
        <v>1731</v>
      </c>
      <c r="F12" s="16" t="s">
        <v>46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6" x14ac:dyDescent="0.55000000000000004">
      <c r="A13" s="28" t="s">
        <v>44</v>
      </c>
      <c r="B13" s="29" t="s">
        <v>90</v>
      </c>
      <c r="C13" s="31" t="s">
        <v>90</v>
      </c>
      <c r="D13" s="31" t="s">
        <v>94</v>
      </c>
      <c r="E13" s="15">
        <v>2389</v>
      </c>
      <c r="F13" s="16" t="s">
        <v>46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6" x14ac:dyDescent="0.55000000000000004">
      <c r="A14" s="28" t="s">
        <v>44</v>
      </c>
      <c r="B14" s="29" t="s">
        <v>96</v>
      </c>
      <c r="C14" s="31" t="s">
        <v>96</v>
      </c>
      <c r="D14" s="31" t="s">
        <v>97</v>
      </c>
      <c r="E14" s="15">
        <v>61</v>
      </c>
      <c r="F14" s="16" t="s">
        <v>46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6" x14ac:dyDescent="0.55000000000000004">
      <c r="A15" s="28" t="s">
        <v>44</v>
      </c>
      <c r="B15" s="29" t="s">
        <v>100</v>
      </c>
      <c r="C15" s="31" t="s">
        <v>101</v>
      </c>
      <c r="D15" s="31" t="s">
        <v>103</v>
      </c>
      <c r="E15" s="15">
        <v>546</v>
      </c>
      <c r="F15" s="16" t="s">
        <v>46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6" x14ac:dyDescent="0.55000000000000004">
      <c r="A16" s="28" t="s">
        <v>44</v>
      </c>
      <c r="B16" s="29" t="s">
        <v>105</v>
      </c>
      <c r="C16" s="31" t="s">
        <v>105</v>
      </c>
      <c r="D16" s="31" t="s">
        <v>106</v>
      </c>
      <c r="E16" s="15">
        <v>1534</v>
      </c>
      <c r="F16" s="16" t="s">
        <v>46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x14ac:dyDescent="0.55000000000000004">
      <c r="A17" s="11" t="s">
        <v>107</v>
      </c>
      <c r="B17" s="12" t="s">
        <v>108</v>
      </c>
      <c r="C17" s="34" t="s">
        <v>108</v>
      </c>
      <c r="D17" s="34" t="s">
        <v>109</v>
      </c>
      <c r="E17" s="15">
        <v>1635</v>
      </c>
      <c r="F17" s="16" t="s">
        <v>46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x14ac:dyDescent="0.55000000000000004">
      <c r="A18" s="11" t="s">
        <v>107</v>
      </c>
      <c r="B18" s="12" t="s">
        <v>110</v>
      </c>
      <c r="C18" s="34" t="s">
        <v>110</v>
      </c>
      <c r="D18" s="34" t="s">
        <v>111</v>
      </c>
      <c r="E18" s="15">
        <v>4162</v>
      </c>
      <c r="F18" s="16" t="s">
        <v>46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x14ac:dyDescent="0.55000000000000004">
      <c r="A19" s="16"/>
      <c r="B19" s="16"/>
      <c r="C19" s="16"/>
      <c r="D19" s="16"/>
      <c r="E19" s="3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x14ac:dyDescent="0.55000000000000004">
      <c r="A20" s="16"/>
      <c r="B20" s="16"/>
      <c r="C20" s="16"/>
      <c r="D20" s="16"/>
      <c r="E20" s="3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x14ac:dyDescent="0.55000000000000004">
      <c r="A21" s="16"/>
      <c r="B21" s="16"/>
      <c r="C21" s="16"/>
      <c r="D21" s="16"/>
      <c r="E21" s="3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x14ac:dyDescent="0.55000000000000004">
      <c r="A22" s="16"/>
      <c r="B22" s="16"/>
      <c r="C22" s="16"/>
      <c r="D22" s="16"/>
      <c r="E22" s="3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55000000000000004">
      <c r="A23" s="16"/>
      <c r="B23" s="16"/>
      <c r="C23" s="16"/>
      <c r="D23" s="16"/>
      <c r="E23" s="3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x14ac:dyDescent="0.55000000000000004">
      <c r="A24" s="16"/>
      <c r="B24" s="16"/>
      <c r="C24" s="16"/>
      <c r="D24" s="16"/>
      <c r="E24" s="3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x14ac:dyDescent="0.55000000000000004">
      <c r="A25" s="16"/>
      <c r="B25" s="16"/>
      <c r="C25" s="16"/>
      <c r="D25" s="16"/>
      <c r="E25" s="3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x14ac:dyDescent="0.55000000000000004">
      <c r="A26" s="16"/>
      <c r="B26" s="16"/>
      <c r="C26" s="16"/>
      <c r="D26" s="16"/>
      <c r="E26" s="3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x14ac:dyDescent="0.55000000000000004">
      <c r="A27" s="16"/>
      <c r="B27" s="16"/>
      <c r="C27" s="16"/>
      <c r="D27" s="16"/>
      <c r="E27" s="3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x14ac:dyDescent="0.55000000000000004">
      <c r="A28" s="16"/>
      <c r="B28" s="16"/>
      <c r="C28" s="16"/>
      <c r="D28" s="16"/>
      <c r="E28" s="3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x14ac:dyDescent="0.55000000000000004">
      <c r="A29" s="16"/>
      <c r="B29" s="16"/>
      <c r="C29" s="16"/>
      <c r="D29" s="16"/>
      <c r="E29" s="3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x14ac:dyDescent="0.55000000000000004">
      <c r="A30" s="16"/>
      <c r="B30" s="16"/>
      <c r="C30" s="16"/>
      <c r="D30" s="16"/>
      <c r="E30" s="3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x14ac:dyDescent="0.55000000000000004">
      <c r="A31" s="16"/>
      <c r="B31" s="16"/>
      <c r="C31" s="16"/>
      <c r="D31" s="16"/>
      <c r="E31" s="3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x14ac:dyDescent="0.55000000000000004">
      <c r="A32" s="16"/>
      <c r="B32" s="16"/>
      <c r="C32" s="16"/>
      <c r="D32" s="16"/>
      <c r="E32" s="3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x14ac:dyDescent="0.55000000000000004">
      <c r="A33" s="16"/>
      <c r="B33" s="16"/>
      <c r="C33" s="16"/>
      <c r="D33" s="16"/>
      <c r="E33" s="3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x14ac:dyDescent="0.55000000000000004">
      <c r="A34" s="16"/>
      <c r="B34" s="16"/>
      <c r="C34" s="16"/>
      <c r="D34" s="16"/>
      <c r="E34" s="3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55000000000000004">
      <c r="A35" s="16"/>
      <c r="B35" s="16"/>
      <c r="C35" s="16"/>
      <c r="D35" s="16"/>
      <c r="E35" s="3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x14ac:dyDescent="0.55000000000000004">
      <c r="A36" s="16"/>
      <c r="B36" s="16"/>
      <c r="C36" s="16"/>
      <c r="D36" s="16"/>
      <c r="E36" s="3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x14ac:dyDescent="0.55000000000000004">
      <c r="A37" s="16"/>
      <c r="B37" s="16"/>
      <c r="C37" s="16"/>
      <c r="D37" s="16"/>
      <c r="E37" s="3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x14ac:dyDescent="0.55000000000000004">
      <c r="A38" s="16"/>
      <c r="B38" s="16"/>
      <c r="C38" s="16"/>
      <c r="D38" s="16"/>
      <c r="E38" s="3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x14ac:dyDescent="0.55000000000000004">
      <c r="A39" s="16"/>
      <c r="B39" s="16"/>
      <c r="C39" s="16"/>
      <c r="D39" s="16"/>
      <c r="E39" s="3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x14ac:dyDescent="0.55000000000000004">
      <c r="A40" s="16"/>
      <c r="B40" s="16"/>
      <c r="C40" s="16"/>
      <c r="D40" s="16"/>
      <c r="E40" s="3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x14ac:dyDescent="0.55000000000000004">
      <c r="A41" s="16"/>
      <c r="B41" s="16"/>
      <c r="C41" s="16"/>
      <c r="D41" s="16"/>
      <c r="E41" s="3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x14ac:dyDescent="0.55000000000000004">
      <c r="A42" s="16"/>
      <c r="B42" s="16"/>
      <c r="C42" s="16"/>
      <c r="D42" s="16"/>
      <c r="E42" s="3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x14ac:dyDescent="0.55000000000000004">
      <c r="A43" s="16"/>
      <c r="B43" s="16"/>
      <c r="C43" s="16"/>
      <c r="D43" s="16"/>
      <c r="E43" s="3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x14ac:dyDescent="0.55000000000000004">
      <c r="A44" s="16"/>
      <c r="B44" s="16"/>
      <c r="C44" s="16"/>
      <c r="D44" s="16"/>
      <c r="E44" s="3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x14ac:dyDescent="0.55000000000000004">
      <c r="A45" s="16"/>
      <c r="B45" s="16"/>
      <c r="C45" s="16"/>
      <c r="D45" s="16"/>
      <c r="E45" s="3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x14ac:dyDescent="0.55000000000000004">
      <c r="A46" s="16"/>
      <c r="B46" s="16"/>
      <c r="C46" s="16"/>
      <c r="D46" s="16"/>
      <c r="E46" s="3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x14ac:dyDescent="0.55000000000000004">
      <c r="A47" s="16"/>
      <c r="B47" s="16"/>
      <c r="C47" s="16"/>
      <c r="D47" s="16"/>
      <c r="E47" s="3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x14ac:dyDescent="0.55000000000000004">
      <c r="A48" s="16"/>
      <c r="B48" s="16"/>
      <c r="C48" s="16"/>
      <c r="D48" s="16"/>
      <c r="E48" s="3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x14ac:dyDescent="0.55000000000000004">
      <c r="A49" s="16"/>
      <c r="B49" s="16"/>
      <c r="C49" s="16"/>
      <c r="D49" s="16"/>
      <c r="E49" s="3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x14ac:dyDescent="0.55000000000000004">
      <c r="A50" s="16"/>
      <c r="B50" s="16"/>
      <c r="C50" s="16"/>
      <c r="D50" s="16"/>
      <c r="E50" s="3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x14ac:dyDescent="0.55000000000000004">
      <c r="A51" s="16"/>
      <c r="B51" s="16"/>
      <c r="C51" s="16"/>
      <c r="D51" s="16"/>
      <c r="E51" s="3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x14ac:dyDescent="0.55000000000000004">
      <c r="A52" s="16"/>
      <c r="B52" s="16"/>
      <c r="C52" s="16"/>
      <c r="D52" s="16"/>
      <c r="E52" s="3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x14ac:dyDescent="0.55000000000000004">
      <c r="A53" s="16"/>
      <c r="B53" s="16"/>
      <c r="C53" s="16"/>
      <c r="D53" s="16"/>
      <c r="E53" s="3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x14ac:dyDescent="0.55000000000000004">
      <c r="A54" s="16"/>
      <c r="B54" s="16"/>
      <c r="C54" s="16"/>
      <c r="D54" s="16"/>
      <c r="E54" s="3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 x14ac:dyDescent="0.55000000000000004">
      <c r="A55" s="16"/>
      <c r="B55" s="16"/>
      <c r="C55" s="16"/>
      <c r="D55" s="16"/>
      <c r="E55" s="3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x14ac:dyDescent="0.55000000000000004">
      <c r="A56" s="16"/>
      <c r="B56" s="16"/>
      <c r="C56" s="16"/>
      <c r="D56" s="16"/>
      <c r="E56" s="3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x14ac:dyDescent="0.55000000000000004">
      <c r="A57" s="16"/>
      <c r="B57" s="16"/>
      <c r="C57" s="16"/>
      <c r="D57" s="16"/>
      <c r="E57" s="3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 x14ac:dyDescent="0.55000000000000004">
      <c r="A58" s="16"/>
      <c r="B58" s="16"/>
      <c r="C58" s="16"/>
      <c r="D58" s="16"/>
      <c r="E58" s="3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x14ac:dyDescent="0.55000000000000004">
      <c r="A59" s="16"/>
      <c r="B59" s="16"/>
      <c r="C59" s="16"/>
      <c r="D59" s="16"/>
      <c r="E59" s="3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x14ac:dyDescent="0.55000000000000004">
      <c r="A60" s="16"/>
      <c r="B60" s="16"/>
      <c r="C60" s="16"/>
      <c r="D60" s="16"/>
      <c r="E60" s="3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x14ac:dyDescent="0.55000000000000004">
      <c r="A61" s="16"/>
      <c r="B61" s="16"/>
      <c r="C61" s="16"/>
      <c r="D61" s="16"/>
      <c r="E61" s="3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x14ac:dyDescent="0.55000000000000004">
      <c r="A62" s="16"/>
      <c r="B62" s="16"/>
      <c r="C62" s="16"/>
      <c r="D62" s="16"/>
      <c r="E62" s="3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x14ac:dyDescent="0.55000000000000004">
      <c r="A63" s="16"/>
      <c r="B63" s="16"/>
      <c r="C63" s="16"/>
      <c r="D63" s="16"/>
      <c r="E63" s="3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x14ac:dyDescent="0.55000000000000004">
      <c r="A64" s="16"/>
      <c r="B64" s="16"/>
      <c r="C64" s="16"/>
      <c r="D64" s="16"/>
      <c r="E64" s="3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x14ac:dyDescent="0.55000000000000004">
      <c r="A65" s="16"/>
      <c r="B65" s="16"/>
      <c r="C65" s="16"/>
      <c r="D65" s="16"/>
      <c r="E65" s="3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x14ac:dyDescent="0.55000000000000004">
      <c r="A66" s="16"/>
      <c r="B66" s="16"/>
      <c r="C66" s="16"/>
      <c r="D66" s="16"/>
      <c r="E66" s="3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x14ac:dyDescent="0.55000000000000004">
      <c r="A67" s="16"/>
      <c r="B67" s="16"/>
      <c r="C67" s="16"/>
      <c r="D67" s="16"/>
      <c r="E67" s="3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x14ac:dyDescent="0.55000000000000004">
      <c r="A68" s="16"/>
      <c r="B68" s="16"/>
      <c r="C68" s="16"/>
      <c r="D68" s="16"/>
      <c r="E68" s="3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x14ac:dyDescent="0.55000000000000004">
      <c r="A69" s="16"/>
      <c r="B69" s="16"/>
      <c r="C69" s="16"/>
      <c r="D69" s="16"/>
      <c r="E69" s="3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x14ac:dyDescent="0.55000000000000004">
      <c r="A70" s="16"/>
      <c r="B70" s="16"/>
      <c r="C70" s="16"/>
      <c r="D70" s="16"/>
      <c r="E70" s="3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x14ac:dyDescent="0.55000000000000004">
      <c r="A71" s="16"/>
      <c r="B71" s="16"/>
      <c r="C71" s="16"/>
      <c r="D71" s="16"/>
      <c r="E71" s="3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55000000000000004">
      <c r="A72" s="16"/>
      <c r="B72" s="16"/>
      <c r="C72" s="16"/>
      <c r="D72" s="16"/>
      <c r="E72" s="3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 x14ac:dyDescent="0.55000000000000004">
      <c r="A73" s="16"/>
      <c r="B73" s="16"/>
      <c r="C73" s="16"/>
      <c r="D73" s="16"/>
      <c r="E73" s="3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x14ac:dyDescent="0.55000000000000004">
      <c r="A74" s="16"/>
      <c r="B74" s="16"/>
      <c r="C74" s="16"/>
      <c r="D74" s="16"/>
      <c r="E74" s="3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x14ac:dyDescent="0.55000000000000004">
      <c r="A75" s="16"/>
      <c r="B75" s="16"/>
      <c r="C75" s="16"/>
      <c r="D75" s="16"/>
      <c r="E75" s="3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x14ac:dyDescent="0.55000000000000004">
      <c r="A76" s="16"/>
      <c r="B76" s="16"/>
      <c r="C76" s="16"/>
      <c r="D76" s="16"/>
      <c r="E76" s="3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x14ac:dyDescent="0.55000000000000004">
      <c r="A77" s="16"/>
      <c r="B77" s="16"/>
      <c r="C77" s="16"/>
      <c r="D77" s="16"/>
      <c r="E77" s="3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 x14ac:dyDescent="0.55000000000000004">
      <c r="A78" s="16"/>
      <c r="B78" s="16"/>
      <c r="C78" s="16"/>
      <c r="D78" s="16"/>
      <c r="E78" s="3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 x14ac:dyDescent="0.55000000000000004">
      <c r="A79" s="16"/>
      <c r="B79" s="16"/>
      <c r="C79" s="16"/>
      <c r="D79" s="16"/>
      <c r="E79" s="3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 x14ac:dyDescent="0.55000000000000004">
      <c r="A80" s="16"/>
      <c r="B80" s="16"/>
      <c r="C80" s="16"/>
      <c r="D80" s="16"/>
      <c r="E80" s="3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 x14ac:dyDescent="0.55000000000000004">
      <c r="A81" s="16"/>
      <c r="B81" s="16"/>
      <c r="C81" s="16"/>
      <c r="D81" s="16"/>
      <c r="E81" s="3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 x14ac:dyDescent="0.55000000000000004">
      <c r="A82" s="16"/>
      <c r="B82" s="16"/>
      <c r="C82" s="16"/>
      <c r="D82" s="16"/>
      <c r="E82" s="3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 x14ac:dyDescent="0.55000000000000004">
      <c r="A83" s="16"/>
      <c r="B83" s="16"/>
      <c r="C83" s="16"/>
      <c r="D83" s="16"/>
      <c r="E83" s="3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 x14ac:dyDescent="0.55000000000000004">
      <c r="A84" s="16"/>
      <c r="B84" s="16"/>
      <c r="C84" s="16"/>
      <c r="D84" s="16"/>
      <c r="E84" s="3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 x14ac:dyDescent="0.55000000000000004">
      <c r="A85" s="16"/>
      <c r="B85" s="16"/>
      <c r="C85" s="16"/>
      <c r="D85" s="16"/>
      <c r="E85" s="3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 x14ac:dyDescent="0.55000000000000004">
      <c r="A86" s="16"/>
      <c r="B86" s="16"/>
      <c r="C86" s="16"/>
      <c r="D86" s="16"/>
      <c r="E86" s="3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 x14ac:dyDescent="0.55000000000000004">
      <c r="A87" s="16"/>
      <c r="B87" s="16"/>
      <c r="C87" s="16"/>
      <c r="D87" s="16"/>
      <c r="E87" s="3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 x14ac:dyDescent="0.55000000000000004">
      <c r="A88" s="16"/>
      <c r="B88" s="16"/>
      <c r="C88" s="16"/>
      <c r="D88" s="16"/>
      <c r="E88" s="3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 x14ac:dyDescent="0.55000000000000004">
      <c r="A89" s="16"/>
      <c r="B89" s="16"/>
      <c r="C89" s="16"/>
      <c r="D89" s="16"/>
      <c r="E89" s="3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 x14ac:dyDescent="0.55000000000000004">
      <c r="A90" s="16"/>
      <c r="B90" s="16"/>
      <c r="C90" s="16"/>
      <c r="D90" s="16"/>
      <c r="E90" s="3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 x14ac:dyDescent="0.55000000000000004">
      <c r="A91" s="16"/>
      <c r="B91" s="16"/>
      <c r="C91" s="16"/>
      <c r="D91" s="16"/>
      <c r="E91" s="3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 x14ac:dyDescent="0.55000000000000004">
      <c r="A92" s="16"/>
      <c r="B92" s="16"/>
      <c r="C92" s="16"/>
      <c r="D92" s="16"/>
      <c r="E92" s="3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 x14ac:dyDescent="0.55000000000000004">
      <c r="A93" s="16"/>
      <c r="B93" s="16"/>
      <c r="C93" s="16"/>
      <c r="D93" s="16"/>
      <c r="E93" s="3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 x14ac:dyDescent="0.55000000000000004">
      <c r="A94" s="16"/>
      <c r="B94" s="16"/>
      <c r="C94" s="16"/>
      <c r="D94" s="16"/>
      <c r="E94" s="3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 x14ac:dyDescent="0.55000000000000004">
      <c r="A95" s="16"/>
      <c r="B95" s="16"/>
      <c r="C95" s="16"/>
      <c r="D95" s="16"/>
      <c r="E95" s="3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 x14ac:dyDescent="0.55000000000000004">
      <c r="A96" s="16"/>
      <c r="B96" s="16"/>
      <c r="C96" s="16"/>
      <c r="D96" s="16"/>
      <c r="E96" s="3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 x14ac:dyDescent="0.55000000000000004">
      <c r="A97" s="16"/>
      <c r="B97" s="16"/>
      <c r="C97" s="16"/>
      <c r="D97" s="16"/>
      <c r="E97" s="3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 x14ac:dyDescent="0.55000000000000004">
      <c r="A98" s="16"/>
      <c r="B98" s="16"/>
      <c r="C98" s="16"/>
      <c r="D98" s="16"/>
      <c r="E98" s="3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 x14ac:dyDescent="0.55000000000000004">
      <c r="A99" s="16"/>
      <c r="B99" s="16"/>
      <c r="C99" s="16"/>
      <c r="D99" s="16"/>
      <c r="E99" s="3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 x14ac:dyDescent="0.55000000000000004">
      <c r="A100" s="16"/>
      <c r="B100" s="16"/>
      <c r="C100" s="16"/>
      <c r="D100" s="16"/>
      <c r="E100" s="3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 x14ac:dyDescent="0.55000000000000004">
      <c r="A101" s="16"/>
      <c r="B101" s="16"/>
      <c r="C101" s="16"/>
      <c r="D101" s="16"/>
      <c r="E101" s="3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 x14ac:dyDescent="0.55000000000000004">
      <c r="A102" s="16"/>
      <c r="B102" s="16"/>
      <c r="C102" s="16"/>
      <c r="D102" s="16"/>
      <c r="E102" s="3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 x14ac:dyDescent="0.55000000000000004">
      <c r="A103" s="16"/>
      <c r="B103" s="16"/>
      <c r="C103" s="16"/>
      <c r="D103" s="16"/>
      <c r="E103" s="3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 x14ac:dyDescent="0.55000000000000004">
      <c r="A104" s="16"/>
      <c r="B104" s="16"/>
      <c r="C104" s="16"/>
      <c r="D104" s="16"/>
      <c r="E104" s="3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 x14ac:dyDescent="0.55000000000000004">
      <c r="A105" s="16"/>
      <c r="B105" s="16"/>
      <c r="C105" s="16"/>
      <c r="D105" s="16"/>
      <c r="E105" s="3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 x14ac:dyDescent="0.55000000000000004">
      <c r="A106" s="16"/>
      <c r="B106" s="16"/>
      <c r="C106" s="16"/>
      <c r="D106" s="16"/>
      <c r="E106" s="3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 x14ac:dyDescent="0.55000000000000004">
      <c r="A107" s="16"/>
      <c r="B107" s="16"/>
      <c r="C107" s="16"/>
      <c r="D107" s="16"/>
      <c r="E107" s="3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 x14ac:dyDescent="0.55000000000000004">
      <c r="A108" s="16"/>
      <c r="B108" s="16"/>
      <c r="C108" s="16"/>
      <c r="D108" s="16"/>
      <c r="E108" s="3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 x14ac:dyDescent="0.55000000000000004">
      <c r="A109" s="16"/>
      <c r="B109" s="16"/>
      <c r="C109" s="16"/>
      <c r="D109" s="16"/>
      <c r="E109" s="3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 x14ac:dyDescent="0.55000000000000004">
      <c r="A110" s="16"/>
      <c r="B110" s="16"/>
      <c r="C110" s="16"/>
      <c r="D110" s="16"/>
      <c r="E110" s="3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 x14ac:dyDescent="0.55000000000000004">
      <c r="A111" s="16"/>
      <c r="B111" s="16"/>
      <c r="C111" s="16"/>
      <c r="D111" s="16"/>
      <c r="E111" s="3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x14ac:dyDescent="0.55000000000000004">
      <c r="A112" s="16"/>
      <c r="B112" s="16"/>
      <c r="C112" s="16"/>
      <c r="D112" s="16"/>
      <c r="E112" s="3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 x14ac:dyDescent="0.55000000000000004">
      <c r="A113" s="16"/>
      <c r="B113" s="16"/>
      <c r="C113" s="16"/>
      <c r="D113" s="16"/>
      <c r="E113" s="3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 x14ac:dyDescent="0.55000000000000004">
      <c r="A114" s="16"/>
      <c r="B114" s="16"/>
      <c r="C114" s="16"/>
      <c r="D114" s="16"/>
      <c r="E114" s="3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 x14ac:dyDescent="0.55000000000000004">
      <c r="A115" s="16"/>
      <c r="B115" s="16"/>
      <c r="C115" s="16"/>
      <c r="D115" s="16"/>
      <c r="E115" s="3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 x14ac:dyDescent="0.55000000000000004">
      <c r="A116" s="16"/>
      <c r="B116" s="16"/>
      <c r="C116" s="16"/>
      <c r="D116" s="16"/>
      <c r="E116" s="3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 x14ac:dyDescent="0.55000000000000004">
      <c r="A117" s="16"/>
      <c r="B117" s="16"/>
      <c r="C117" s="16"/>
      <c r="D117" s="16"/>
      <c r="E117" s="3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 x14ac:dyDescent="0.55000000000000004">
      <c r="A118" s="16"/>
      <c r="B118" s="16"/>
      <c r="C118" s="16"/>
      <c r="D118" s="16"/>
      <c r="E118" s="3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 x14ac:dyDescent="0.55000000000000004">
      <c r="A119" s="16"/>
      <c r="B119" s="16"/>
      <c r="C119" s="16"/>
      <c r="D119" s="16"/>
      <c r="E119" s="3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 x14ac:dyDescent="0.55000000000000004">
      <c r="A120" s="16"/>
      <c r="B120" s="16"/>
      <c r="C120" s="16"/>
      <c r="D120" s="16"/>
      <c r="E120" s="3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 x14ac:dyDescent="0.55000000000000004">
      <c r="A121" s="16"/>
      <c r="B121" s="16"/>
      <c r="C121" s="16"/>
      <c r="D121" s="16"/>
      <c r="E121" s="3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 x14ac:dyDescent="0.55000000000000004">
      <c r="A122" s="16"/>
      <c r="B122" s="16"/>
      <c r="C122" s="16"/>
      <c r="D122" s="16"/>
      <c r="E122" s="3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 x14ac:dyDescent="0.55000000000000004">
      <c r="A123" s="16"/>
      <c r="B123" s="16"/>
      <c r="C123" s="16"/>
      <c r="D123" s="16"/>
      <c r="E123" s="3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 x14ac:dyDescent="0.55000000000000004">
      <c r="A124" s="16"/>
      <c r="B124" s="16"/>
      <c r="C124" s="16"/>
      <c r="D124" s="16"/>
      <c r="E124" s="3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 x14ac:dyDescent="0.55000000000000004">
      <c r="A125" s="16"/>
      <c r="B125" s="16"/>
      <c r="C125" s="16"/>
      <c r="D125" s="16"/>
      <c r="E125" s="3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 x14ac:dyDescent="0.55000000000000004">
      <c r="A126" s="16"/>
      <c r="B126" s="16"/>
      <c r="C126" s="16"/>
      <c r="D126" s="16"/>
      <c r="E126" s="3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 x14ac:dyDescent="0.55000000000000004">
      <c r="A127" s="16"/>
      <c r="B127" s="16"/>
      <c r="C127" s="16"/>
      <c r="D127" s="16"/>
      <c r="E127" s="3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 x14ac:dyDescent="0.55000000000000004">
      <c r="A128" s="16"/>
      <c r="B128" s="16"/>
      <c r="C128" s="16"/>
      <c r="D128" s="16"/>
      <c r="E128" s="3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 x14ac:dyDescent="0.55000000000000004">
      <c r="A129" s="16"/>
      <c r="B129" s="16"/>
      <c r="C129" s="16"/>
      <c r="D129" s="16"/>
      <c r="E129" s="3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 x14ac:dyDescent="0.55000000000000004">
      <c r="A130" s="16"/>
      <c r="B130" s="16"/>
      <c r="C130" s="16"/>
      <c r="D130" s="16"/>
      <c r="E130" s="3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 x14ac:dyDescent="0.55000000000000004">
      <c r="A131" s="16"/>
      <c r="B131" s="16"/>
      <c r="C131" s="16"/>
      <c r="D131" s="16"/>
      <c r="E131" s="3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 x14ac:dyDescent="0.55000000000000004">
      <c r="A132" s="16"/>
      <c r="B132" s="16"/>
      <c r="C132" s="16"/>
      <c r="D132" s="16"/>
      <c r="E132" s="3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 x14ac:dyDescent="0.55000000000000004">
      <c r="A133" s="16"/>
      <c r="B133" s="16"/>
      <c r="C133" s="16"/>
      <c r="D133" s="16"/>
      <c r="E133" s="3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 x14ac:dyDescent="0.55000000000000004">
      <c r="A134" s="16"/>
      <c r="B134" s="16"/>
      <c r="C134" s="16"/>
      <c r="D134" s="16"/>
      <c r="E134" s="3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 x14ac:dyDescent="0.55000000000000004">
      <c r="A135" s="16"/>
      <c r="B135" s="16"/>
      <c r="C135" s="16"/>
      <c r="D135" s="16"/>
      <c r="E135" s="3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 x14ac:dyDescent="0.55000000000000004">
      <c r="A136" s="16"/>
      <c r="B136" s="16"/>
      <c r="C136" s="16"/>
      <c r="D136" s="16"/>
      <c r="E136" s="3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 x14ac:dyDescent="0.55000000000000004">
      <c r="A137" s="16"/>
      <c r="B137" s="16"/>
      <c r="C137" s="16"/>
      <c r="D137" s="16"/>
      <c r="E137" s="3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 x14ac:dyDescent="0.55000000000000004">
      <c r="A138" s="16"/>
      <c r="B138" s="16"/>
      <c r="C138" s="16"/>
      <c r="D138" s="16"/>
      <c r="E138" s="3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 x14ac:dyDescent="0.55000000000000004">
      <c r="A139" s="16"/>
      <c r="B139" s="16"/>
      <c r="C139" s="16"/>
      <c r="D139" s="16"/>
      <c r="E139" s="3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 x14ac:dyDescent="0.55000000000000004">
      <c r="A140" s="16"/>
      <c r="B140" s="16"/>
      <c r="C140" s="16"/>
      <c r="D140" s="16"/>
      <c r="E140" s="3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 x14ac:dyDescent="0.55000000000000004">
      <c r="A141" s="16"/>
      <c r="B141" s="16"/>
      <c r="C141" s="16"/>
      <c r="D141" s="16"/>
      <c r="E141" s="3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 x14ac:dyDescent="0.55000000000000004">
      <c r="A142" s="16"/>
      <c r="B142" s="16"/>
      <c r="C142" s="16"/>
      <c r="D142" s="16"/>
      <c r="E142" s="3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 x14ac:dyDescent="0.55000000000000004">
      <c r="A143" s="16"/>
      <c r="B143" s="16"/>
      <c r="C143" s="16"/>
      <c r="D143" s="16"/>
      <c r="E143" s="3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 x14ac:dyDescent="0.55000000000000004">
      <c r="A144" s="16"/>
      <c r="B144" s="16"/>
      <c r="C144" s="16"/>
      <c r="D144" s="16"/>
      <c r="E144" s="3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 x14ac:dyDescent="0.55000000000000004">
      <c r="A145" s="16"/>
      <c r="B145" s="16"/>
      <c r="C145" s="16"/>
      <c r="D145" s="16"/>
      <c r="E145" s="3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 x14ac:dyDescent="0.55000000000000004">
      <c r="A146" s="16"/>
      <c r="B146" s="16"/>
      <c r="C146" s="16"/>
      <c r="D146" s="16"/>
      <c r="E146" s="3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 x14ac:dyDescent="0.55000000000000004">
      <c r="A147" s="16"/>
      <c r="B147" s="16"/>
      <c r="C147" s="16"/>
      <c r="D147" s="16"/>
      <c r="E147" s="3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 x14ac:dyDescent="0.55000000000000004">
      <c r="A148" s="16"/>
      <c r="B148" s="16"/>
      <c r="C148" s="16"/>
      <c r="D148" s="16"/>
      <c r="E148" s="3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 x14ac:dyDescent="0.55000000000000004">
      <c r="A149" s="16"/>
      <c r="B149" s="16"/>
      <c r="C149" s="16"/>
      <c r="D149" s="16"/>
      <c r="E149" s="3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 x14ac:dyDescent="0.55000000000000004">
      <c r="A150" s="16"/>
      <c r="B150" s="16"/>
      <c r="C150" s="16"/>
      <c r="D150" s="16"/>
      <c r="E150" s="3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 x14ac:dyDescent="0.55000000000000004">
      <c r="A151" s="16"/>
      <c r="B151" s="16"/>
      <c r="C151" s="16"/>
      <c r="D151" s="16"/>
      <c r="E151" s="3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 x14ac:dyDescent="0.55000000000000004">
      <c r="A152" s="16"/>
      <c r="B152" s="16"/>
      <c r="C152" s="16"/>
      <c r="D152" s="16"/>
      <c r="E152" s="3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x14ac:dyDescent="0.55000000000000004">
      <c r="A153" s="16"/>
      <c r="B153" s="16"/>
      <c r="C153" s="16"/>
      <c r="D153" s="16"/>
      <c r="E153" s="3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x14ac:dyDescent="0.55000000000000004">
      <c r="A154" s="16"/>
      <c r="B154" s="16"/>
      <c r="C154" s="16"/>
      <c r="D154" s="16"/>
      <c r="E154" s="3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x14ac:dyDescent="0.55000000000000004">
      <c r="A155" s="16"/>
      <c r="B155" s="16"/>
      <c r="C155" s="16"/>
      <c r="D155" s="16"/>
      <c r="E155" s="3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x14ac:dyDescent="0.55000000000000004">
      <c r="A156" s="16"/>
      <c r="B156" s="16"/>
      <c r="C156" s="16"/>
      <c r="D156" s="16"/>
      <c r="E156" s="3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x14ac:dyDescent="0.55000000000000004">
      <c r="A157" s="16"/>
      <c r="B157" s="16"/>
      <c r="C157" s="16"/>
      <c r="D157" s="16"/>
      <c r="E157" s="3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x14ac:dyDescent="0.55000000000000004">
      <c r="A158" s="16"/>
      <c r="B158" s="16"/>
      <c r="C158" s="16"/>
      <c r="D158" s="16"/>
      <c r="E158" s="3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x14ac:dyDescent="0.55000000000000004">
      <c r="A159" s="16"/>
      <c r="B159" s="16"/>
      <c r="C159" s="16"/>
      <c r="D159" s="16"/>
      <c r="E159" s="3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x14ac:dyDescent="0.55000000000000004">
      <c r="A160" s="16"/>
      <c r="B160" s="16"/>
      <c r="C160" s="16"/>
      <c r="D160" s="16"/>
      <c r="E160" s="3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x14ac:dyDescent="0.55000000000000004">
      <c r="A161" s="16"/>
      <c r="B161" s="16"/>
      <c r="C161" s="16"/>
      <c r="D161" s="16"/>
      <c r="E161" s="3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x14ac:dyDescent="0.55000000000000004">
      <c r="A162" s="16"/>
      <c r="B162" s="16"/>
      <c r="C162" s="16"/>
      <c r="D162" s="16"/>
      <c r="E162" s="3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x14ac:dyDescent="0.55000000000000004">
      <c r="A163" s="16"/>
      <c r="B163" s="16"/>
      <c r="C163" s="16"/>
      <c r="D163" s="16"/>
      <c r="E163" s="3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x14ac:dyDescent="0.55000000000000004">
      <c r="A164" s="16"/>
      <c r="B164" s="16"/>
      <c r="C164" s="16"/>
      <c r="D164" s="16"/>
      <c r="E164" s="3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x14ac:dyDescent="0.55000000000000004">
      <c r="A165" s="16"/>
      <c r="B165" s="16"/>
      <c r="C165" s="16"/>
      <c r="D165" s="16"/>
      <c r="E165" s="3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x14ac:dyDescent="0.55000000000000004">
      <c r="A166" s="16"/>
      <c r="B166" s="16"/>
      <c r="C166" s="16"/>
      <c r="D166" s="16"/>
      <c r="E166" s="3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x14ac:dyDescent="0.55000000000000004">
      <c r="A167" s="16"/>
      <c r="B167" s="16"/>
      <c r="C167" s="16"/>
      <c r="D167" s="16"/>
      <c r="E167" s="3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x14ac:dyDescent="0.55000000000000004">
      <c r="A168" s="16"/>
      <c r="B168" s="16"/>
      <c r="C168" s="16"/>
      <c r="D168" s="16"/>
      <c r="E168" s="3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x14ac:dyDescent="0.55000000000000004">
      <c r="A169" s="16"/>
      <c r="B169" s="16"/>
      <c r="C169" s="16"/>
      <c r="D169" s="16"/>
      <c r="E169" s="3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x14ac:dyDescent="0.55000000000000004">
      <c r="A170" s="16"/>
      <c r="B170" s="16"/>
      <c r="C170" s="16"/>
      <c r="D170" s="16"/>
      <c r="E170" s="3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x14ac:dyDescent="0.55000000000000004">
      <c r="A171" s="16"/>
      <c r="B171" s="16"/>
      <c r="C171" s="16"/>
      <c r="D171" s="16"/>
      <c r="E171" s="3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x14ac:dyDescent="0.55000000000000004">
      <c r="A172" s="16"/>
      <c r="B172" s="16"/>
      <c r="C172" s="16"/>
      <c r="D172" s="16"/>
      <c r="E172" s="3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x14ac:dyDescent="0.55000000000000004">
      <c r="A173" s="16"/>
      <c r="B173" s="16"/>
      <c r="C173" s="16"/>
      <c r="D173" s="16"/>
      <c r="E173" s="3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x14ac:dyDescent="0.55000000000000004">
      <c r="A174" s="16"/>
      <c r="B174" s="16"/>
      <c r="C174" s="16"/>
      <c r="D174" s="16"/>
      <c r="E174" s="3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x14ac:dyDescent="0.55000000000000004">
      <c r="A175" s="16"/>
      <c r="B175" s="16"/>
      <c r="C175" s="16"/>
      <c r="D175" s="16"/>
      <c r="E175" s="3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x14ac:dyDescent="0.55000000000000004">
      <c r="A176" s="16"/>
      <c r="B176" s="16"/>
      <c r="C176" s="16"/>
      <c r="D176" s="16"/>
      <c r="E176" s="3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x14ac:dyDescent="0.55000000000000004">
      <c r="A177" s="16"/>
      <c r="B177" s="16"/>
      <c r="C177" s="16"/>
      <c r="D177" s="16"/>
      <c r="E177" s="3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x14ac:dyDescent="0.55000000000000004">
      <c r="A178" s="16"/>
      <c r="B178" s="16"/>
      <c r="C178" s="16"/>
      <c r="D178" s="16"/>
      <c r="E178" s="3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x14ac:dyDescent="0.55000000000000004">
      <c r="A179" s="16"/>
      <c r="B179" s="16"/>
      <c r="C179" s="16"/>
      <c r="D179" s="16"/>
      <c r="E179" s="3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x14ac:dyDescent="0.55000000000000004">
      <c r="A180" s="16"/>
      <c r="B180" s="16"/>
      <c r="C180" s="16"/>
      <c r="D180" s="16"/>
      <c r="E180" s="3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x14ac:dyDescent="0.55000000000000004">
      <c r="A181" s="16"/>
      <c r="B181" s="16"/>
      <c r="C181" s="16"/>
      <c r="D181" s="16"/>
      <c r="E181" s="3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 x14ac:dyDescent="0.55000000000000004">
      <c r="A182" s="16"/>
      <c r="B182" s="16"/>
      <c r="C182" s="16"/>
      <c r="D182" s="16"/>
      <c r="E182" s="3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 x14ac:dyDescent="0.55000000000000004">
      <c r="A183" s="16"/>
      <c r="B183" s="16"/>
      <c r="C183" s="16"/>
      <c r="D183" s="16"/>
      <c r="E183" s="3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 x14ac:dyDescent="0.55000000000000004">
      <c r="A184" s="16"/>
      <c r="B184" s="16"/>
      <c r="C184" s="16"/>
      <c r="D184" s="16"/>
      <c r="E184" s="3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 x14ac:dyDescent="0.55000000000000004">
      <c r="A185" s="16"/>
      <c r="B185" s="16"/>
      <c r="C185" s="16"/>
      <c r="D185" s="16"/>
      <c r="E185" s="3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 x14ac:dyDescent="0.55000000000000004">
      <c r="A186" s="16"/>
      <c r="B186" s="16"/>
      <c r="C186" s="16"/>
      <c r="D186" s="16"/>
      <c r="E186" s="3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 x14ac:dyDescent="0.55000000000000004">
      <c r="A187" s="16"/>
      <c r="B187" s="16"/>
      <c r="C187" s="16"/>
      <c r="D187" s="16"/>
      <c r="E187" s="3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 x14ac:dyDescent="0.55000000000000004">
      <c r="A188" s="16"/>
      <c r="B188" s="16"/>
      <c r="C188" s="16"/>
      <c r="D188" s="16"/>
      <c r="E188" s="3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 x14ac:dyDescent="0.55000000000000004">
      <c r="A189" s="16"/>
      <c r="B189" s="16"/>
      <c r="C189" s="16"/>
      <c r="D189" s="16"/>
      <c r="E189" s="3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 x14ac:dyDescent="0.55000000000000004">
      <c r="A190" s="16"/>
      <c r="B190" s="16"/>
      <c r="C190" s="16"/>
      <c r="D190" s="16"/>
      <c r="E190" s="3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 x14ac:dyDescent="0.55000000000000004">
      <c r="A191" s="16"/>
      <c r="B191" s="16"/>
      <c r="C191" s="16"/>
      <c r="D191" s="16"/>
      <c r="E191" s="3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x14ac:dyDescent="0.55000000000000004">
      <c r="A192" s="16"/>
      <c r="B192" s="16"/>
      <c r="C192" s="16"/>
      <c r="D192" s="16"/>
      <c r="E192" s="3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 x14ac:dyDescent="0.55000000000000004">
      <c r="A193" s="16"/>
      <c r="B193" s="16"/>
      <c r="C193" s="16"/>
      <c r="D193" s="16"/>
      <c r="E193" s="3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 x14ac:dyDescent="0.55000000000000004">
      <c r="A194" s="16"/>
      <c r="B194" s="16"/>
      <c r="C194" s="16"/>
      <c r="D194" s="16"/>
      <c r="E194" s="3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 x14ac:dyDescent="0.55000000000000004">
      <c r="A195" s="16"/>
      <c r="B195" s="16"/>
      <c r="C195" s="16"/>
      <c r="D195" s="16"/>
      <c r="E195" s="3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 x14ac:dyDescent="0.55000000000000004">
      <c r="A196" s="16"/>
      <c r="B196" s="16"/>
      <c r="C196" s="16"/>
      <c r="D196" s="16"/>
      <c r="E196" s="3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 x14ac:dyDescent="0.55000000000000004">
      <c r="A197" s="16"/>
      <c r="B197" s="16"/>
      <c r="C197" s="16"/>
      <c r="D197" s="16"/>
      <c r="E197" s="3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 x14ac:dyDescent="0.55000000000000004">
      <c r="A198" s="16"/>
      <c r="B198" s="16"/>
      <c r="C198" s="16"/>
      <c r="D198" s="16"/>
      <c r="E198" s="3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 x14ac:dyDescent="0.55000000000000004">
      <c r="A199" s="16"/>
      <c r="B199" s="16"/>
      <c r="C199" s="16"/>
      <c r="D199" s="16"/>
      <c r="E199" s="3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 x14ac:dyDescent="0.55000000000000004">
      <c r="A200" s="16"/>
      <c r="B200" s="16"/>
      <c r="C200" s="16"/>
      <c r="D200" s="16"/>
      <c r="E200" s="3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 x14ac:dyDescent="0.55000000000000004">
      <c r="A201" s="16"/>
      <c r="B201" s="16"/>
      <c r="C201" s="16"/>
      <c r="D201" s="16"/>
      <c r="E201" s="3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 x14ac:dyDescent="0.55000000000000004">
      <c r="A202" s="16"/>
      <c r="B202" s="16"/>
      <c r="C202" s="16"/>
      <c r="D202" s="16"/>
      <c r="E202" s="3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 x14ac:dyDescent="0.55000000000000004">
      <c r="A203" s="16"/>
      <c r="B203" s="16"/>
      <c r="C203" s="16"/>
      <c r="D203" s="16"/>
      <c r="E203" s="3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 x14ac:dyDescent="0.55000000000000004">
      <c r="A204" s="16"/>
      <c r="B204" s="16"/>
      <c r="C204" s="16"/>
      <c r="D204" s="16"/>
      <c r="E204" s="3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 x14ac:dyDescent="0.55000000000000004">
      <c r="A205" s="16"/>
      <c r="B205" s="16"/>
      <c r="C205" s="16"/>
      <c r="D205" s="16"/>
      <c r="E205" s="3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 x14ac:dyDescent="0.55000000000000004">
      <c r="A206" s="16"/>
      <c r="B206" s="16"/>
      <c r="C206" s="16"/>
      <c r="D206" s="16"/>
      <c r="E206" s="3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 x14ac:dyDescent="0.55000000000000004">
      <c r="A207" s="16"/>
      <c r="B207" s="16"/>
      <c r="C207" s="16"/>
      <c r="D207" s="16"/>
      <c r="E207" s="3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 x14ac:dyDescent="0.55000000000000004">
      <c r="A208" s="16"/>
      <c r="B208" s="16"/>
      <c r="C208" s="16"/>
      <c r="D208" s="16"/>
      <c r="E208" s="3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 x14ac:dyDescent="0.55000000000000004">
      <c r="A209" s="16"/>
      <c r="B209" s="16"/>
      <c r="C209" s="16"/>
      <c r="D209" s="16"/>
      <c r="E209" s="3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 x14ac:dyDescent="0.55000000000000004">
      <c r="A210" s="16"/>
      <c r="B210" s="16"/>
      <c r="C210" s="16"/>
      <c r="D210" s="16"/>
      <c r="E210" s="3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 x14ac:dyDescent="0.55000000000000004">
      <c r="A211" s="16"/>
      <c r="B211" s="16"/>
      <c r="C211" s="16"/>
      <c r="D211" s="16"/>
      <c r="E211" s="3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 x14ac:dyDescent="0.55000000000000004">
      <c r="A212" s="16"/>
      <c r="B212" s="16"/>
      <c r="C212" s="16"/>
      <c r="D212" s="16"/>
      <c r="E212" s="3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 x14ac:dyDescent="0.55000000000000004">
      <c r="A213" s="16"/>
      <c r="B213" s="16"/>
      <c r="C213" s="16"/>
      <c r="D213" s="16"/>
      <c r="E213" s="3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 x14ac:dyDescent="0.55000000000000004">
      <c r="A214" s="16"/>
      <c r="B214" s="16"/>
      <c r="C214" s="16"/>
      <c r="D214" s="16"/>
      <c r="E214" s="3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 x14ac:dyDescent="0.55000000000000004">
      <c r="A215" s="16"/>
      <c r="B215" s="16"/>
      <c r="C215" s="16"/>
      <c r="D215" s="16"/>
      <c r="E215" s="3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 x14ac:dyDescent="0.55000000000000004">
      <c r="A216" s="16"/>
      <c r="B216" s="16"/>
      <c r="C216" s="16"/>
      <c r="D216" s="16"/>
      <c r="E216" s="3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 x14ac:dyDescent="0.55000000000000004">
      <c r="A217" s="16"/>
      <c r="B217" s="16"/>
      <c r="C217" s="16"/>
      <c r="D217" s="16"/>
      <c r="E217" s="3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 x14ac:dyDescent="0.55000000000000004">
      <c r="A218" s="16"/>
      <c r="B218" s="16"/>
      <c r="C218" s="16"/>
      <c r="D218" s="16"/>
      <c r="E218" s="3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 x14ac:dyDescent="0.55000000000000004">
      <c r="A219" s="16"/>
      <c r="B219" s="16"/>
      <c r="C219" s="16"/>
      <c r="D219" s="16"/>
      <c r="E219" s="3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 x14ac:dyDescent="0.55000000000000004">
      <c r="A220" s="16"/>
      <c r="B220" s="16"/>
      <c r="C220" s="16"/>
      <c r="D220" s="16"/>
      <c r="E220" s="3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 x14ac:dyDescent="0.55000000000000004">
      <c r="A221" s="16"/>
      <c r="B221" s="16"/>
      <c r="C221" s="16"/>
      <c r="D221" s="16"/>
      <c r="E221" s="3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 x14ac:dyDescent="0.55000000000000004">
      <c r="A222" s="16"/>
      <c r="B222" s="16"/>
      <c r="C222" s="16"/>
      <c r="D222" s="16"/>
      <c r="E222" s="3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 x14ac:dyDescent="0.55000000000000004">
      <c r="A223" s="16"/>
      <c r="B223" s="16"/>
      <c r="C223" s="16"/>
      <c r="D223" s="16"/>
      <c r="E223" s="3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 x14ac:dyDescent="0.55000000000000004">
      <c r="A224" s="16"/>
      <c r="B224" s="16"/>
      <c r="C224" s="16"/>
      <c r="D224" s="16"/>
      <c r="E224" s="3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 x14ac:dyDescent="0.55000000000000004">
      <c r="A225" s="16"/>
      <c r="B225" s="16"/>
      <c r="C225" s="16"/>
      <c r="D225" s="16"/>
      <c r="E225" s="3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 x14ac:dyDescent="0.55000000000000004">
      <c r="A226" s="16"/>
      <c r="B226" s="16"/>
      <c r="C226" s="16"/>
      <c r="D226" s="16"/>
      <c r="E226" s="3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 x14ac:dyDescent="0.55000000000000004">
      <c r="A227" s="16"/>
      <c r="B227" s="16"/>
      <c r="C227" s="16"/>
      <c r="D227" s="16"/>
      <c r="E227" s="3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 x14ac:dyDescent="0.55000000000000004">
      <c r="A228" s="16"/>
      <c r="B228" s="16"/>
      <c r="C228" s="16"/>
      <c r="D228" s="16"/>
      <c r="E228" s="3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 x14ac:dyDescent="0.55000000000000004">
      <c r="A229" s="16"/>
      <c r="B229" s="16"/>
      <c r="C229" s="16"/>
      <c r="D229" s="16"/>
      <c r="E229" s="3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 x14ac:dyDescent="0.55000000000000004">
      <c r="A230" s="16"/>
      <c r="B230" s="16"/>
      <c r="C230" s="16"/>
      <c r="D230" s="16"/>
      <c r="E230" s="3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 x14ac:dyDescent="0.55000000000000004">
      <c r="A231" s="16"/>
      <c r="B231" s="16"/>
      <c r="C231" s="16"/>
      <c r="D231" s="16"/>
      <c r="E231" s="3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 x14ac:dyDescent="0.55000000000000004">
      <c r="A232" s="16"/>
      <c r="B232" s="16"/>
      <c r="C232" s="16"/>
      <c r="D232" s="16"/>
      <c r="E232" s="3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 x14ac:dyDescent="0.55000000000000004">
      <c r="A233" s="16"/>
      <c r="B233" s="16"/>
      <c r="C233" s="16"/>
      <c r="D233" s="16"/>
      <c r="E233" s="3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 x14ac:dyDescent="0.55000000000000004">
      <c r="A234" s="16"/>
      <c r="B234" s="16"/>
      <c r="C234" s="16"/>
      <c r="D234" s="16"/>
      <c r="E234" s="3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 x14ac:dyDescent="0.55000000000000004">
      <c r="A235" s="16"/>
      <c r="B235" s="16"/>
      <c r="C235" s="16"/>
      <c r="D235" s="16"/>
      <c r="E235" s="3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 x14ac:dyDescent="0.55000000000000004">
      <c r="A236" s="16"/>
      <c r="B236" s="16"/>
      <c r="C236" s="16"/>
      <c r="D236" s="16"/>
      <c r="E236" s="3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 x14ac:dyDescent="0.55000000000000004">
      <c r="A237" s="16"/>
      <c r="B237" s="16"/>
      <c r="C237" s="16"/>
      <c r="D237" s="16"/>
      <c r="E237" s="3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 x14ac:dyDescent="0.55000000000000004">
      <c r="A238" s="16"/>
      <c r="B238" s="16"/>
      <c r="C238" s="16"/>
      <c r="D238" s="16"/>
      <c r="E238" s="3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 x14ac:dyDescent="0.55000000000000004">
      <c r="A239" s="16"/>
      <c r="B239" s="16"/>
      <c r="C239" s="16"/>
      <c r="D239" s="16"/>
      <c r="E239" s="3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 x14ac:dyDescent="0.55000000000000004">
      <c r="A240" s="16"/>
      <c r="B240" s="16"/>
      <c r="C240" s="16"/>
      <c r="D240" s="16"/>
      <c r="E240" s="3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 x14ac:dyDescent="0.55000000000000004">
      <c r="A241" s="16"/>
      <c r="B241" s="16"/>
      <c r="C241" s="16"/>
      <c r="D241" s="16"/>
      <c r="E241" s="3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 x14ac:dyDescent="0.55000000000000004">
      <c r="A242" s="16"/>
      <c r="B242" s="16"/>
      <c r="C242" s="16"/>
      <c r="D242" s="16"/>
      <c r="E242" s="3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 x14ac:dyDescent="0.55000000000000004">
      <c r="A243" s="16"/>
      <c r="B243" s="16"/>
      <c r="C243" s="16"/>
      <c r="D243" s="16"/>
      <c r="E243" s="3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 x14ac:dyDescent="0.55000000000000004">
      <c r="A244" s="16"/>
      <c r="B244" s="16"/>
      <c r="C244" s="16"/>
      <c r="D244" s="16"/>
      <c r="E244" s="3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 x14ac:dyDescent="0.55000000000000004">
      <c r="A245" s="16"/>
      <c r="B245" s="16"/>
      <c r="C245" s="16"/>
      <c r="D245" s="16"/>
      <c r="E245" s="3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 x14ac:dyDescent="0.55000000000000004">
      <c r="A246" s="16"/>
      <c r="B246" s="16"/>
      <c r="C246" s="16"/>
      <c r="D246" s="16"/>
      <c r="E246" s="3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 x14ac:dyDescent="0.55000000000000004">
      <c r="A247" s="16"/>
      <c r="B247" s="16"/>
      <c r="C247" s="16"/>
      <c r="D247" s="16"/>
      <c r="E247" s="3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 x14ac:dyDescent="0.55000000000000004">
      <c r="A248" s="16"/>
      <c r="B248" s="16"/>
      <c r="C248" s="16"/>
      <c r="D248" s="16"/>
      <c r="E248" s="3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 x14ac:dyDescent="0.55000000000000004">
      <c r="A249" s="16"/>
      <c r="B249" s="16"/>
      <c r="C249" s="16"/>
      <c r="D249" s="16"/>
      <c r="E249" s="3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 x14ac:dyDescent="0.55000000000000004">
      <c r="A250" s="16"/>
      <c r="B250" s="16"/>
      <c r="C250" s="16"/>
      <c r="D250" s="16"/>
      <c r="E250" s="3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 x14ac:dyDescent="0.55000000000000004">
      <c r="A251" s="16"/>
      <c r="B251" s="16"/>
      <c r="C251" s="16"/>
      <c r="D251" s="16"/>
      <c r="E251" s="3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 x14ac:dyDescent="0.55000000000000004">
      <c r="A252" s="16"/>
      <c r="B252" s="16"/>
      <c r="C252" s="16"/>
      <c r="D252" s="16"/>
      <c r="E252" s="3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 x14ac:dyDescent="0.55000000000000004">
      <c r="A253" s="16"/>
      <c r="B253" s="16"/>
      <c r="C253" s="16"/>
      <c r="D253" s="16"/>
      <c r="E253" s="3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 x14ac:dyDescent="0.55000000000000004">
      <c r="A254" s="16"/>
      <c r="B254" s="16"/>
      <c r="C254" s="16"/>
      <c r="D254" s="16"/>
      <c r="E254" s="3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 x14ac:dyDescent="0.55000000000000004">
      <c r="A255" s="16"/>
      <c r="B255" s="16"/>
      <c r="C255" s="16"/>
      <c r="D255" s="16"/>
      <c r="E255" s="3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 x14ac:dyDescent="0.55000000000000004">
      <c r="A256" s="16"/>
      <c r="B256" s="16"/>
      <c r="C256" s="16"/>
      <c r="D256" s="16"/>
      <c r="E256" s="3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 x14ac:dyDescent="0.55000000000000004">
      <c r="A257" s="16"/>
      <c r="B257" s="16"/>
      <c r="C257" s="16"/>
      <c r="D257" s="16"/>
      <c r="E257" s="3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 x14ac:dyDescent="0.55000000000000004">
      <c r="A258" s="16"/>
      <c r="B258" s="16"/>
      <c r="C258" s="16"/>
      <c r="D258" s="16"/>
      <c r="E258" s="3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 x14ac:dyDescent="0.55000000000000004">
      <c r="A259" s="16"/>
      <c r="B259" s="16"/>
      <c r="C259" s="16"/>
      <c r="D259" s="16"/>
      <c r="E259" s="3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 x14ac:dyDescent="0.55000000000000004">
      <c r="A260" s="16"/>
      <c r="B260" s="16"/>
      <c r="C260" s="16"/>
      <c r="D260" s="16"/>
      <c r="E260" s="3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 x14ac:dyDescent="0.55000000000000004">
      <c r="A261" s="16"/>
      <c r="B261" s="16"/>
      <c r="C261" s="16"/>
      <c r="D261" s="16"/>
      <c r="E261" s="3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 x14ac:dyDescent="0.55000000000000004">
      <c r="A262" s="16"/>
      <c r="B262" s="16"/>
      <c r="C262" s="16"/>
      <c r="D262" s="16"/>
      <c r="E262" s="3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 x14ac:dyDescent="0.55000000000000004">
      <c r="A263" s="16"/>
      <c r="B263" s="16"/>
      <c r="C263" s="16"/>
      <c r="D263" s="16"/>
      <c r="E263" s="3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 x14ac:dyDescent="0.55000000000000004">
      <c r="A264" s="16"/>
      <c r="B264" s="16"/>
      <c r="C264" s="16"/>
      <c r="D264" s="16"/>
      <c r="E264" s="3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 x14ac:dyDescent="0.55000000000000004">
      <c r="A265" s="16"/>
      <c r="B265" s="16"/>
      <c r="C265" s="16"/>
      <c r="D265" s="16"/>
      <c r="E265" s="3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 x14ac:dyDescent="0.55000000000000004">
      <c r="A266" s="16"/>
      <c r="B266" s="16"/>
      <c r="C266" s="16"/>
      <c r="D266" s="16"/>
      <c r="E266" s="3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 x14ac:dyDescent="0.55000000000000004">
      <c r="A267" s="16"/>
      <c r="B267" s="16"/>
      <c r="C267" s="16"/>
      <c r="D267" s="16"/>
      <c r="E267" s="3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 x14ac:dyDescent="0.55000000000000004">
      <c r="A268" s="16"/>
      <c r="B268" s="16"/>
      <c r="C268" s="16"/>
      <c r="D268" s="16"/>
      <c r="E268" s="3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 x14ac:dyDescent="0.55000000000000004">
      <c r="A269" s="16"/>
      <c r="B269" s="16"/>
      <c r="C269" s="16"/>
      <c r="D269" s="16"/>
      <c r="E269" s="3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 x14ac:dyDescent="0.55000000000000004">
      <c r="A270" s="16"/>
      <c r="B270" s="16"/>
      <c r="C270" s="16"/>
      <c r="D270" s="16"/>
      <c r="E270" s="3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 x14ac:dyDescent="0.55000000000000004">
      <c r="A271" s="16"/>
      <c r="B271" s="16"/>
      <c r="C271" s="16"/>
      <c r="D271" s="16"/>
      <c r="E271" s="3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 x14ac:dyDescent="0.55000000000000004">
      <c r="A272" s="16"/>
      <c r="B272" s="16"/>
      <c r="C272" s="16"/>
      <c r="D272" s="16"/>
      <c r="E272" s="3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 x14ac:dyDescent="0.55000000000000004">
      <c r="A273" s="16"/>
      <c r="B273" s="16"/>
      <c r="C273" s="16"/>
      <c r="D273" s="16"/>
      <c r="E273" s="3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 x14ac:dyDescent="0.55000000000000004">
      <c r="A274" s="16"/>
      <c r="B274" s="16"/>
      <c r="C274" s="16"/>
      <c r="D274" s="16"/>
      <c r="E274" s="3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 x14ac:dyDescent="0.55000000000000004">
      <c r="A275" s="16"/>
      <c r="B275" s="16"/>
      <c r="C275" s="16"/>
      <c r="D275" s="16"/>
      <c r="E275" s="3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 x14ac:dyDescent="0.55000000000000004">
      <c r="A276" s="16"/>
      <c r="B276" s="16"/>
      <c r="C276" s="16"/>
      <c r="D276" s="16"/>
      <c r="E276" s="3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 x14ac:dyDescent="0.55000000000000004">
      <c r="A277" s="16"/>
      <c r="B277" s="16"/>
      <c r="C277" s="16"/>
      <c r="D277" s="16"/>
      <c r="E277" s="3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 x14ac:dyDescent="0.55000000000000004">
      <c r="A278" s="16"/>
      <c r="B278" s="16"/>
      <c r="C278" s="16"/>
      <c r="D278" s="16"/>
      <c r="E278" s="3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 x14ac:dyDescent="0.55000000000000004">
      <c r="A279" s="16"/>
      <c r="B279" s="16"/>
      <c r="C279" s="16"/>
      <c r="D279" s="16"/>
      <c r="E279" s="3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 x14ac:dyDescent="0.55000000000000004">
      <c r="A280" s="16"/>
      <c r="B280" s="16"/>
      <c r="C280" s="16"/>
      <c r="D280" s="16"/>
      <c r="E280" s="3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 x14ac:dyDescent="0.55000000000000004">
      <c r="A281" s="16"/>
      <c r="B281" s="16"/>
      <c r="C281" s="16"/>
      <c r="D281" s="16"/>
      <c r="E281" s="3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 x14ac:dyDescent="0.55000000000000004">
      <c r="A282" s="16"/>
      <c r="B282" s="16"/>
      <c r="C282" s="16"/>
      <c r="D282" s="16"/>
      <c r="E282" s="3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 x14ac:dyDescent="0.55000000000000004">
      <c r="A283" s="16"/>
      <c r="B283" s="16"/>
      <c r="C283" s="16"/>
      <c r="D283" s="16"/>
      <c r="E283" s="3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 x14ac:dyDescent="0.55000000000000004">
      <c r="A284" s="16"/>
      <c r="B284" s="16"/>
      <c r="C284" s="16"/>
      <c r="D284" s="16"/>
      <c r="E284" s="3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 x14ac:dyDescent="0.55000000000000004">
      <c r="A285" s="16"/>
      <c r="B285" s="16"/>
      <c r="C285" s="16"/>
      <c r="D285" s="16"/>
      <c r="E285" s="3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 x14ac:dyDescent="0.55000000000000004">
      <c r="A286" s="16"/>
      <c r="B286" s="16"/>
      <c r="C286" s="16"/>
      <c r="D286" s="16"/>
      <c r="E286" s="3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 x14ac:dyDescent="0.55000000000000004">
      <c r="A287" s="16"/>
      <c r="B287" s="16"/>
      <c r="C287" s="16"/>
      <c r="D287" s="16"/>
      <c r="E287" s="3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 x14ac:dyDescent="0.55000000000000004">
      <c r="A288" s="16"/>
      <c r="B288" s="16"/>
      <c r="C288" s="16"/>
      <c r="D288" s="16"/>
      <c r="E288" s="3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 x14ac:dyDescent="0.55000000000000004">
      <c r="A289" s="16"/>
      <c r="B289" s="16"/>
      <c r="C289" s="16"/>
      <c r="D289" s="16"/>
      <c r="E289" s="3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 x14ac:dyDescent="0.55000000000000004">
      <c r="A290" s="16"/>
      <c r="B290" s="16"/>
      <c r="C290" s="16"/>
      <c r="D290" s="16"/>
      <c r="E290" s="3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 x14ac:dyDescent="0.55000000000000004">
      <c r="A291" s="16"/>
      <c r="B291" s="16"/>
      <c r="C291" s="16"/>
      <c r="D291" s="16"/>
      <c r="E291" s="3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 x14ac:dyDescent="0.55000000000000004">
      <c r="A292" s="16"/>
      <c r="B292" s="16"/>
      <c r="C292" s="16"/>
      <c r="D292" s="16"/>
      <c r="E292" s="3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 x14ac:dyDescent="0.55000000000000004">
      <c r="A293" s="16"/>
      <c r="B293" s="16"/>
      <c r="C293" s="16"/>
      <c r="D293" s="16"/>
      <c r="E293" s="3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 x14ac:dyDescent="0.55000000000000004">
      <c r="A294" s="16"/>
      <c r="B294" s="16"/>
      <c r="C294" s="16"/>
      <c r="D294" s="16"/>
      <c r="E294" s="3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 x14ac:dyDescent="0.55000000000000004">
      <c r="A295" s="16"/>
      <c r="B295" s="16"/>
      <c r="C295" s="16"/>
      <c r="D295" s="16"/>
      <c r="E295" s="3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 x14ac:dyDescent="0.55000000000000004">
      <c r="A296" s="16"/>
      <c r="B296" s="16"/>
      <c r="C296" s="16"/>
      <c r="D296" s="16"/>
      <c r="E296" s="3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 x14ac:dyDescent="0.55000000000000004">
      <c r="A297" s="16"/>
      <c r="B297" s="16"/>
      <c r="C297" s="16"/>
      <c r="D297" s="16"/>
      <c r="E297" s="3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 x14ac:dyDescent="0.55000000000000004">
      <c r="A298" s="16"/>
      <c r="B298" s="16"/>
      <c r="C298" s="16"/>
      <c r="D298" s="16"/>
      <c r="E298" s="3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 x14ac:dyDescent="0.55000000000000004">
      <c r="A299" s="16"/>
      <c r="B299" s="16"/>
      <c r="C299" s="16"/>
      <c r="D299" s="16"/>
      <c r="E299" s="3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 x14ac:dyDescent="0.55000000000000004">
      <c r="A300" s="16"/>
      <c r="B300" s="16"/>
      <c r="C300" s="16"/>
      <c r="D300" s="16"/>
      <c r="E300" s="3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 x14ac:dyDescent="0.55000000000000004">
      <c r="A301" s="16"/>
      <c r="B301" s="16"/>
      <c r="C301" s="16"/>
      <c r="D301" s="16"/>
      <c r="E301" s="3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 x14ac:dyDescent="0.55000000000000004">
      <c r="A302" s="16"/>
      <c r="B302" s="16"/>
      <c r="C302" s="16"/>
      <c r="D302" s="16"/>
      <c r="E302" s="3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 x14ac:dyDescent="0.55000000000000004">
      <c r="A303" s="16"/>
      <c r="B303" s="16"/>
      <c r="C303" s="16"/>
      <c r="D303" s="16"/>
      <c r="E303" s="3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 x14ac:dyDescent="0.55000000000000004">
      <c r="A304" s="16"/>
      <c r="B304" s="16"/>
      <c r="C304" s="16"/>
      <c r="D304" s="16"/>
      <c r="E304" s="3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 x14ac:dyDescent="0.55000000000000004">
      <c r="A305" s="16"/>
      <c r="B305" s="16"/>
      <c r="C305" s="16"/>
      <c r="D305" s="16"/>
      <c r="E305" s="3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 x14ac:dyDescent="0.55000000000000004">
      <c r="A306" s="16"/>
      <c r="B306" s="16"/>
      <c r="C306" s="16"/>
      <c r="D306" s="16"/>
      <c r="E306" s="3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 x14ac:dyDescent="0.55000000000000004">
      <c r="A307" s="16"/>
      <c r="B307" s="16"/>
      <c r="C307" s="16"/>
      <c r="D307" s="16"/>
      <c r="E307" s="3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 x14ac:dyDescent="0.55000000000000004">
      <c r="A308" s="16"/>
      <c r="B308" s="16"/>
      <c r="C308" s="16"/>
      <c r="D308" s="16"/>
      <c r="E308" s="3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 x14ac:dyDescent="0.55000000000000004">
      <c r="A309" s="16"/>
      <c r="B309" s="16"/>
      <c r="C309" s="16"/>
      <c r="D309" s="16"/>
      <c r="E309" s="3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 x14ac:dyDescent="0.55000000000000004">
      <c r="A310" s="16"/>
      <c r="B310" s="16"/>
      <c r="C310" s="16"/>
      <c r="D310" s="16"/>
      <c r="E310" s="3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 x14ac:dyDescent="0.55000000000000004">
      <c r="A311" s="16"/>
      <c r="B311" s="16"/>
      <c r="C311" s="16"/>
      <c r="D311" s="16"/>
      <c r="E311" s="3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 x14ac:dyDescent="0.55000000000000004">
      <c r="A312" s="16"/>
      <c r="B312" s="16"/>
      <c r="C312" s="16"/>
      <c r="D312" s="16"/>
      <c r="E312" s="3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 x14ac:dyDescent="0.55000000000000004">
      <c r="A313" s="16"/>
      <c r="B313" s="16"/>
      <c r="C313" s="16"/>
      <c r="D313" s="16"/>
      <c r="E313" s="3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 x14ac:dyDescent="0.55000000000000004">
      <c r="A314" s="16"/>
      <c r="B314" s="16"/>
      <c r="C314" s="16"/>
      <c r="D314" s="16"/>
      <c r="E314" s="3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 x14ac:dyDescent="0.55000000000000004">
      <c r="A315" s="16"/>
      <c r="B315" s="16"/>
      <c r="C315" s="16"/>
      <c r="D315" s="16"/>
      <c r="E315" s="3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 x14ac:dyDescent="0.55000000000000004">
      <c r="A316" s="16"/>
      <c r="B316" s="16"/>
      <c r="C316" s="16"/>
      <c r="D316" s="16"/>
      <c r="E316" s="3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 x14ac:dyDescent="0.55000000000000004">
      <c r="A317" s="16"/>
      <c r="B317" s="16"/>
      <c r="C317" s="16"/>
      <c r="D317" s="16"/>
      <c r="E317" s="3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 x14ac:dyDescent="0.55000000000000004">
      <c r="A318" s="16"/>
      <c r="B318" s="16"/>
      <c r="C318" s="16"/>
      <c r="D318" s="16"/>
      <c r="E318" s="3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 x14ac:dyDescent="0.55000000000000004">
      <c r="A319" s="16"/>
      <c r="B319" s="16"/>
      <c r="C319" s="16"/>
      <c r="D319" s="16"/>
      <c r="E319" s="3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 x14ac:dyDescent="0.55000000000000004">
      <c r="A320" s="16"/>
      <c r="B320" s="16"/>
      <c r="C320" s="16"/>
      <c r="D320" s="16"/>
      <c r="E320" s="3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 x14ac:dyDescent="0.55000000000000004">
      <c r="A321" s="16"/>
      <c r="B321" s="16"/>
      <c r="C321" s="16"/>
      <c r="D321" s="16"/>
      <c r="E321" s="3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 x14ac:dyDescent="0.55000000000000004">
      <c r="A322" s="16"/>
      <c r="B322" s="16"/>
      <c r="C322" s="16"/>
      <c r="D322" s="16"/>
      <c r="E322" s="3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 x14ac:dyDescent="0.55000000000000004">
      <c r="A323" s="16"/>
      <c r="B323" s="16"/>
      <c r="C323" s="16"/>
      <c r="D323" s="16"/>
      <c r="E323" s="3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 x14ac:dyDescent="0.55000000000000004">
      <c r="A324" s="16"/>
      <c r="B324" s="16"/>
      <c r="C324" s="16"/>
      <c r="D324" s="16"/>
      <c r="E324" s="3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 x14ac:dyDescent="0.55000000000000004">
      <c r="A325" s="16"/>
      <c r="B325" s="16"/>
      <c r="C325" s="16"/>
      <c r="D325" s="16"/>
      <c r="E325" s="3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 x14ac:dyDescent="0.55000000000000004">
      <c r="A326" s="16"/>
      <c r="B326" s="16"/>
      <c r="C326" s="16"/>
      <c r="D326" s="16"/>
      <c r="E326" s="3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 x14ac:dyDescent="0.55000000000000004">
      <c r="A327" s="16"/>
      <c r="B327" s="16"/>
      <c r="C327" s="16"/>
      <c r="D327" s="16"/>
      <c r="E327" s="3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 x14ac:dyDescent="0.55000000000000004">
      <c r="A328" s="16"/>
      <c r="B328" s="16"/>
      <c r="C328" s="16"/>
      <c r="D328" s="16"/>
      <c r="E328" s="3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 x14ac:dyDescent="0.55000000000000004">
      <c r="A329" s="16"/>
      <c r="B329" s="16"/>
      <c r="C329" s="16"/>
      <c r="D329" s="16"/>
      <c r="E329" s="3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 x14ac:dyDescent="0.55000000000000004">
      <c r="A330" s="16"/>
      <c r="B330" s="16"/>
      <c r="C330" s="16"/>
      <c r="D330" s="16"/>
      <c r="E330" s="3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 x14ac:dyDescent="0.55000000000000004">
      <c r="A331" s="16"/>
      <c r="B331" s="16"/>
      <c r="C331" s="16"/>
      <c r="D331" s="16"/>
      <c r="E331" s="3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 x14ac:dyDescent="0.55000000000000004">
      <c r="A332" s="16"/>
      <c r="B332" s="16"/>
      <c r="C332" s="16"/>
      <c r="D332" s="16"/>
      <c r="E332" s="3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 x14ac:dyDescent="0.55000000000000004">
      <c r="A333" s="16"/>
      <c r="B333" s="16"/>
      <c r="C333" s="16"/>
      <c r="D333" s="16"/>
      <c r="E333" s="3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 x14ac:dyDescent="0.55000000000000004">
      <c r="A334" s="16"/>
      <c r="B334" s="16"/>
      <c r="C334" s="16"/>
      <c r="D334" s="16"/>
      <c r="E334" s="3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 x14ac:dyDescent="0.55000000000000004">
      <c r="A335" s="16"/>
      <c r="B335" s="16"/>
      <c r="C335" s="16"/>
      <c r="D335" s="16"/>
      <c r="E335" s="3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 x14ac:dyDescent="0.55000000000000004">
      <c r="A336" s="16"/>
      <c r="B336" s="16"/>
      <c r="C336" s="16"/>
      <c r="D336" s="16"/>
      <c r="E336" s="3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 x14ac:dyDescent="0.55000000000000004">
      <c r="A337" s="16"/>
      <c r="B337" s="16"/>
      <c r="C337" s="16"/>
      <c r="D337" s="16"/>
      <c r="E337" s="3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 x14ac:dyDescent="0.55000000000000004">
      <c r="A338" s="16"/>
      <c r="B338" s="16"/>
      <c r="C338" s="16"/>
      <c r="D338" s="16"/>
      <c r="E338" s="3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 x14ac:dyDescent="0.55000000000000004">
      <c r="A339" s="16"/>
      <c r="B339" s="16"/>
      <c r="C339" s="16"/>
      <c r="D339" s="16"/>
      <c r="E339" s="3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 x14ac:dyDescent="0.55000000000000004">
      <c r="A340" s="16"/>
      <c r="B340" s="16"/>
      <c r="C340" s="16"/>
      <c r="D340" s="16"/>
      <c r="E340" s="3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 x14ac:dyDescent="0.55000000000000004">
      <c r="A341" s="16"/>
      <c r="B341" s="16"/>
      <c r="C341" s="16"/>
      <c r="D341" s="16"/>
      <c r="E341" s="3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 x14ac:dyDescent="0.55000000000000004">
      <c r="A342" s="16"/>
      <c r="B342" s="16"/>
      <c r="C342" s="16"/>
      <c r="D342" s="16"/>
      <c r="E342" s="3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 x14ac:dyDescent="0.55000000000000004">
      <c r="A343" s="16"/>
      <c r="B343" s="16"/>
      <c r="C343" s="16"/>
      <c r="D343" s="16"/>
      <c r="E343" s="3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 x14ac:dyDescent="0.55000000000000004">
      <c r="A344" s="16"/>
      <c r="B344" s="16"/>
      <c r="C344" s="16"/>
      <c r="D344" s="16"/>
      <c r="E344" s="3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 x14ac:dyDescent="0.55000000000000004">
      <c r="A345" s="16"/>
      <c r="B345" s="16"/>
      <c r="C345" s="16"/>
      <c r="D345" s="16"/>
      <c r="E345" s="3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 x14ac:dyDescent="0.55000000000000004">
      <c r="A346" s="16"/>
      <c r="B346" s="16"/>
      <c r="C346" s="16"/>
      <c r="D346" s="16"/>
      <c r="E346" s="3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 x14ac:dyDescent="0.55000000000000004">
      <c r="A347" s="16"/>
      <c r="B347" s="16"/>
      <c r="C347" s="16"/>
      <c r="D347" s="16"/>
      <c r="E347" s="3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 x14ac:dyDescent="0.55000000000000004">
      <c r="A348" s="16"/>
      <c r="B348" s="16"/>
      <c r="C348" s="16"/>
      <c r="D348" s="16"/>
      <c r="E348" s="3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 x14ac:dyDescent="0.55000000000000004">
      <c r="A349" s="16"/>
      <c r="B349" s="16"/>
      <c r="C349" s="16"/>
      <c r="D349" s="16"/>
      <c r="E349" s="3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 x14ac:dyDescent="0.55000000000000004">
      <c r="A350" s="16"/>
      <c r="B350" s="16"/>
      <c r="C350" s="16"/>
      <c r="D350" s="16"/>
      <c r="E350" s="3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 x14ac:dyDescent="0.55000000000000004">
      <c r="A351" s="16"/>
      <c r="B351" s="16"/>
      <c r="C351" s="16"/>
      <c r="D351" s="16"/>
      <c r="E351" s="3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 x14ac:dyDescent="0.55000000000000004">
      <c r="A352" s="16"/>
      <c r="B352" s="16"/>
      <c r="C352" s="16"/>
      <c r="D352" s="16"/>
      <c r="E352" s="3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 x14ac:dyDescent="0.55000000000000004">
      <c r="A353" s="16"/>
      <c r="B353" s="16"/>
      <c r="C353" s="16"/>
      <c r="D353" s="16"/>
      <c r="E353" s="3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 x14ac:dyDescent="0.55000000000000004">
      <c r="A354" s="16"/>
      <c r="B354" s="16"/>
      <c r="C354" s="16"/>
      <c r="D354" s="16"/>
      <c r="E354" s="3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 x14ac:dyDescent="0.55000000000000004">
      <c r="A355" s="16"/>
      <c r="B355" s="16"/>
      <c r="C355" s="16"/>
      <c r="D355" s="16"/>
      <c r="E355" s="3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 x14ac:dyDescent="0.55000000000000004">
      <c r="A356" s="16"/>
      <c r="B356" s="16"/>
      <c r="C356" s="16"/>
      <c r="D356" s="16"/>
      <c r="E356" s="3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 x14ac:dyDescent="0.55000000000000004">
      <c r="A357" s="16"/>
      <c r="B357" s="16"/>
      <c r="C357" s="16"/>
      <c r="D357" s="16"/>
      <c r="E357" s="3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 x14ac:dyDescent="0.55000000000000004">
      <c r="A358" s="16"/>
      <c r="B358" s="16"/>
      <c r="C358" s="16"/>
      <c r="D358" s="16"/>
      <c r="E358" s="3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 x14ac:dyDescent="0.55000000000000004">
      <c r="A359" s="16"/>
      <c r="B359" s="16"/>
      <c r="C359" s="16"/>
      <c r="D359" s="16"/>
      <c r="E359" s="3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 x14ac:dyDescent="0.55000000000000004">
      <c r="A360" s="16"/>
      <c r="B360" s="16"/>
      <c r="C360" s="16"/>
      <c r="D360" s="16"/>
      <c r="E360" s="3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 x14ac:dyDescent="0.55000000000000004">
      <c r="A361" s="16"/>
      <c r="B361" s="16"/>
      <c r="C361" s="16"/>
      <c r="D361" s="16"/>
      <c r="E361" s="3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 x14ac:dyDescent="0.55000000000000004">
      <c r="A362" s="16"/>
      <c r="B362" s="16"/>
      <c r="C362" s="16"/>
      <c r="D362" s="16"/>
      <c r="E362" s="3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 x14ac:dyDescent="0.55000000000000004">
      <c r="A363" s="16"/>
      <c r="B363" s="16"/>
      <c r="C363" s="16"/>
      <c r="D363" s="16"/>
      <c r="E363" s="3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 x14ac:dyDescent="0.55000000000000004">
      <c r="A364" s="16"/>
      <c r="B364" s="16"/>
      <c r="C364" s="16"/>
      <c r="D364" s="16"/>
      <c r="E364" s="3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 x14ac:dyDescent="0.55000000000000004">
      <c r="A365" s="16"/>
      <c r="B365" s="16"/>
      <c r="C365" s="16"/>
      <c r="D365" s="16"/>
      <c r="E365" s="3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 x14ac:dyDescent="0.55000000000000004">
      <c r="A366" s="16"/>
      <c r="B366" s="16"/>
      <c r="C366" s="16"/>
      <c r="D366" s="16"/>
      <c r="E366" s="3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 x14ac:dyDescent="0.55000000000000004">
      <c r="A367" s="16"/>
      <c r="B367" s="16"/>
      <c r="C367" s="16"/>
      <c r="D367" s="16"/>
      <c r="E367" s="3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 x14ac:dyDescent="0.55000000000000004">
      <c r="A368" s="16"/>
      <c r="B368" s="16"/>
      <c r="C368" s="16"/>
      <c r="D368" s="16"/>
      <c r="E368" s="3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 x14ac:dyDescent="0.55000000000000004">
      <c r="A369" s="16"/>
      <c r="B369" s="16"/>
      <c r="C369" s="16"/>
      <c r="D369" s="16"/>
      <c r="E369" s="3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 x14ac:dyDescent="0.55000000000000004">
      <c r="A370" s="16"/>
      <c r="B370" s="16"/>
      <c r="C370" s="16"/>
      <c r="D370" s="16"/>
      <c r="E370" s="3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 x14ac:dyDescent="0.55000000000000004">
      <c r="A371" s="16"/>
      <c r="B371" s="16"/>
      <c r="C371" s="16"/>
      <c r="D371" s="16"/>
      <c r="E371" s="3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 x14ac:dyDescent="0.55000000000000004">
      <c r="A372" s="16"/>
      <c r="B372" s="16"/>
      <c r="C372" s="16"/>
      <c r="D372" s="16"/>
      <c r="E372" s="3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 x14ac:dyDescent="0.55000000000000004">
      <c r="A373" s="16"/>
      <c r="B373" s="16"/>
      <c r="C373" s="16"/>
      <c r="D373" s="16"/>
      <c r="E373" s="3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 x14ac:dyDescent="0.55000000000000004">
      <c r="A374" s="16"/>
      <c r="B374" s="16"/>
      <c r="C374" s="16"/>
      <c r="D374" s="16"/>
      <c r="E374" s="3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 x14ac:dyDescent="0.55000000000000004">
      <c r="A375" s="16"/>
      <c r="B375" s="16"/>
      <c r="C375" s="16"/>
      <c r="D375" s="16"/>
      <c r="E375" s="3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 x14ac:dyDescent="0.55000000000000004">
      <c r="A376" s="16"/>
      <c r="B376" s="16"/>
      <c r="C376" s="16"/>
      <c r="D376" s="16"/>
      <c r="E376" s="3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 x14ac:dyDescent="0.55000000000000004">
      <c r="A377" s="16"/>
      <c r="B377" s="16"/>
      <c r="C377" s="16"/>
      <c r="D377" s="16"/>
      <c r="E377" s="3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 x14ac:dyDescent="0.55000000000000004">
      <c r="A378" s="16"/>
      <c r="B378" s="16"/>
      <c r="C378" s="16"/>
      <c r="D378" s="16"/>
      <c r="E378" s="3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 x14ac:dyDescent="0.55000000000000004">
      <c r="A379" s="16"/>
      <c r="B379" s="16"/>
      <c r="C379" s="16"/>
      <c r="D379" s="16"/>
      <c r="E379" s="3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 x14ac:dyDescent="0.55000000000000004">
      <c r="A380" s="16"/>
      <c r="B380" s="16"/>
      <c r="C380" s="16"/>
      <c r="D380" s="16"/>
      <c r="E380" s="3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 x14ac:dyDescent="0.55000000000000004">
      <c r="A381" s="16"/>
      <c r="B381" s="16"/>
      <c r="C381" s="16"/>
      <c r="D381" s="16"/>
      <c r="E381" s="3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 x14ac:dyDescent="0.55000000000000004">
      <c r="A382" s="16"/>
      <c r="B382" s="16"/>
      <c r="C382" s="16"/>
      <c r="D382" s="16"/>
      <c r="E382" s="3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 x14ac:dyDescent="0.55000000000000004">
      <c r="A383" s="16"/>
      <c r="B383" s="16"/>
      <c r="C383" s="16"/>
      <c r="D383" s="16"/>
      <c r="E383" s="3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 x14ac:dyDescent="0.55000000000000004">
      <c r="A384" s="16"/>
      <c r="B384" s="16"/>
      <c r="C384" s="16"/>
      <c r="D384" s="16"/>
      <c r="E384" s="3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 x14ac:dyDescent="0.55000000000000004">
      <c r="A385" s="16"/>
      <c r="B385" s="16"/>
      <c r="C385" s="16"/>
      <c r="D385" s="16"/>
      <c r="E385" s="3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 x14ac:dyDescent="0.55000000000000004">
      <c r="A386" s="16"/>
      <c r="B386" s="16"/>
      <c r="C386" s="16"/>
      <c r="D386" s="16"/>
      <c r="E386" s="3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 x14ac:dyDescent="0.55000000000000004">
      <c r="A387" s="16"/>
      <c r="B387" s="16"/>
      <c r="C387" s="16"/>
      <c r="D387" s="16"/>
      <c r="E387" s="3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 x14ac:dyDescent="0.55000000000000004">
      <c r="A388" s="16"/>
      <c r="B388" s="16"/>
      <c r="C388" s="16"/>
      <c r="D388" s="16"/>
      <c r="E388" s="3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 x14ac:dyDescent="0.55000000000000004">
      <c r="A389" s="16"/>
      <c r="B389" s="16"/>
      <c r="C389" s="16"/>
      <c r="D389" s="16"/>
      <c r="E389" s="3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 x14ac:dyDescent="0.55000000000000004">
      <c r="A390" s="16"/>
      <c r="B390" s="16"/>
      <c r="C390" s="16"/>
      <c r="D390" s="16"/>
      <c r="E390" s="3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 x14ac:dyDescent="0.55000000000000004">
      <c r="A391" s="16"/>
      <c r="B391" s="16"/>
      <c r="C391" s="16"/>
      <c r="D391" s="16"/>
      <c r="E391" s="3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 x14ac:dyDescent="0.55000000000000004">
      <c r="A392" s="16"/>
      <c r="B392" s="16"/>
      <c r="C392" s="16"/>
      <c r="D392" s="16"/>
      <c r="E392" s="3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 x14ac:dyDescent="0.55000000000000004">
      <c r="A393" s="16"/>
      <c r="B393" s="16"/>
      <c r="C393" s="16"/>
      <c r="D393" s="16"/>
      <c r="E393" s="3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 x14ac:dyDescent="0.55000000000000004">
      <c r="A394" s="16"/>
      <c r="B394" s="16"/>
      <c r="C394" s="16"/>
      <c r="D394" s="16"/>
      <c r="E394" s="3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 x14ac:dyDescent="0.55000000000000004">
      <c r="A395" s="16"/>
      <c r="B395" s="16"/>
      <c r="C395" s="16"/>
      <c r="D395" s="16"/>
      <c r="E395" s="3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 x14ac:dyDescent="0.55000000000000004">
      <c r="A396" s="16"/>
      <c r="B396" s="16"/>
      <c r="C396" s="16"/>
      <c r="D396" s="16"/>
      <c r="E396" s="3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 x14ac:dyDescent="0.55000000000000004">
      <c r="A397" s="16"/>
      <c r="B397" s="16"/>
      <c r="C397" s="16"/>
      <c r="D397" s="16"/>
      <c r="E397" s="3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 x14ac:dyDescent="0.55000000000000004">
      <c r="A398" s="16"/>
      <c r="B398" s="16"/>
      <c r="C398" s="16"/>
      <c r="D398" s="16"/>
      <c r="E398" s="3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 x14ac:dyDescent="0.55000000000000004">
      <c r="A399" s="16"/>
      <c r="B399" s="16"/>
      <c r="C399" s="16"/>
      <c r="D399" s="16"/>
      <c r="E399" s="3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 x14ac:dyDescent="0.55000000000000004">
      <c r="A400" s="16"/>
      <c r="B400" s="16"/>
      <c r="C400" s="16"/>
      <c r="D400" s="16"/>
      <c r="E400" s="3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 x14ac:dyDescent="0.55000000000000004">
      <c r="A401" s="16"/>
      <c r="B401" s="16"/>
      <c r="C401" s="16"/>
      <c r="D401" s="16"/>
      <c r="E401" s="3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 x14ac:dyDescent="0.55000000000000004">
      <c r="A402" s="16"/>
      <c r="B402" s="16"/>
      <c r="C402" s="16"/>
      <c r="D402" s="16"/>
      <c r="E402" s="3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 x14ac:dyDescent="0.55000000000000004">
      <c r="A403" s="16"/>
      <c r="B403" s="16"/>
      <c r="C403" s="16"/>
      <c r="D403" s="16"/>
      <c r="E403" s="3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 x14ac:dyDescent="0.55000000000000004">
      <c r="A404" s="16"/>
      <c r="B404" s="16"/>
      <c r="C404" s="16"/>
      <c r="D404" s="16"/>
      <c r="E404" s="3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 x14ac:dyDescent="0.55000000000000004">
      <c r="A405" s="16"/>
      <c r="B405" s="16"/>
      <c r="C405" s="16"/>
      <c r="D405" s="16"/>
      <c r="E405" s="3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 x14ac:dyDescent="0.55000000000000004">
      <c r="A406" s="16"/>
      <c r="B406" s="16"/>
      <c r="C406" s="16"/>
      <c r="D406" s="16"/>
      <c r="E406" s="3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 x14ac:dyDescent="0.55000000000000004">
      <c r="A407" s="16"/>
      <c r="B407" s="16"/>
      <c r="C407" s="16"/>
      <c r="D407" s="16"/>
      <c r="E407" s="3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 x14ac:dyDescent="0.55000000000000004">
      <c r="A408" s="16"/>
      <c r="B408" s="16"/>
      <c r="C408" s="16"/>
      <c r="D408" s="16"/>
      <c r="E408" s="3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 x14ac:dyDescent="0.55000000000000004">
      <c r="A409" s="16"/>
      <c r="B409" s="16"/>
      <c r="C409" s="16"/>
      <c r="D409" s="16"/>
      <c r="E409" s="3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 x14ac:dyDescent="0.55000000000000004">
      <c r="A410" s="16"/>
      <c r="B410" s="16"/>
      <c r="C410" s="16"/>
      <c r="D410" s="16"/>
      <c r="E410" s="3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 x14ac:dyDescent="0.55000000000000004">
      <c r="A411" s="16"/>
      <c r="B411" s="16"/>
      <c r="C411" s="16"/>
      <c r="D411" s="16"/>
      <c r="E411" s="3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 x14ac:dyDescent="0.55000000000000004">
      <c r="A412" s="16"/>
      <c r="B412" s="16"/>
      <c r="C412" s="16"/>
      <c r="D412" s="16"/>
      <c r="E412" s="3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 x14ac:dyDescent="0.55000000000000004">
      <c r="A413" s="16"/>
      <c r="B413" s="16"/>
      <c r="C413" s="16"/>
      <c r="D413" s="16"/>
      <c r="E413" s="3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 x14ac:dyDescent="0.55000000000000004">
      <c r="A414" s="16"/>
      <c r="B414" s="16"/>
      <c r="C414" s="16"/>
      <c r="D414" s="16"/>
      <c r="E414" s="3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 x14ac:dyDescent="0.55000000000000004">
      <c r="A415" s="16"/>
      <c r="B415" s="16"/>
      <c r="C415" s="16"/>
      <c r="D415" s="16"/>
      <c r="E415" s="3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 x14ac:dyDescent="0.55000000000000004">
      <c r="A416" s="16"/>
      <c r="B416" s="16"/>
      <c r="C416" s="16"/>
      <c r="D416" s="16"/>
      <c r="E416" s="3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 x14ac:dyDescent="0.55000000000000004">
      <c r="A417" s="16"/>
      <c r="B417" s="16"/>
      <c r="C417" s="16"/>
      <c r="D417" s="16"/>
      <c r="E417" s="3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 x14ac:dyDescent="0.55000000000000004">
      <c r="A418" s="16"/>
      <c r="B418" s="16"/>
      <c r="C418" s="16"/>
      <c r="D418" s="16"/>
      <c r="E418" s="3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 x14ac:dyDescent="0.55000000000000004">
      <c r="A419" s="16"/>
      <c r="B419" s="16"/>
      <c r="C419" s="16"/>
      <c r="D419" s="16"/>
      <c r="E419" s="3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 x14ac:dyDescent="0.55000000000000004">
      <c r="A420" s="16"/>
      <c r="B420" s="16"/>
      <c r="C420" s="16"/>
      <c r="D420" s="16"/>
      <c r="E420" s="3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 x14ac:dyDescent="0.55000000000000004">
      <c r="A421" s="16"/>
      <c r="B421" s="16"/>
      <c r="C421" s="16"/>
      <c r="D421" s="16"/>
      <c r="E421" s="3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 x14ac:dyDescent="0.55000000000000004">
      <c r="A422" s="16"/>
      <c r="B422" s="16"/>
      <c r="C422" s="16"/>
      <c r="D422" s="16"/>
      <c r="E422" s="3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 x14ac:dyDescent="0.55000000000000004">
      <c r="A423" s="16"/>
      <c r="B423" s="16"/>
      <c r="C423" s="16"/>
      <c r="D423" s="16"/>
      <c r="E423" s="3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 x14ac:dyDescent="0.55000000000000004">
      <c r="A424" s="16"/>
      <c r="B424" s="16"/>
      <c r="C424" s="16"/>
      <c r="D424" s="16"/>
      <c r="E424" s="3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 x14ac:dyDescent="0.55000000000000004">
      <c r="A425" s="16"/>
      <c r="B425" s="16"/>
      <c r="C425" s="16"/>
      <c r="D425" s="16"/>
      <c r="E425" s="3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 x14ac:dyDescent="0.55000000000000004">
      <c r="A426" s="16"/>
      <c r="B426" s="16"/>
      <c r="C426" s="16"/>
      <c r="D426" s="16"/>
      <c r="E426" s="3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 x14ac:dyDescent="0.55000000000000004">
      <c r="A427" s="16"/>
      <c r="B427" s="16"/>
      <c r="C427" s="16"/>
      <c r="D427" s="16"/>
      <c r="E427" s="3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 x14ac:dyDescent="0.55000000000000004">
      <c r="A428" s="16"/>
      <c r="B428" s="16"/>
      <c r="C428" s="16"/>
      <c r="D428" s="16"/>
      <c r="E428" s="3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 x14ac:dyDescent="0.55000000000000004">
      <c r="A429" s="16"/>
      <c r="B429" s="16"/>
      <c r="C429" s="16"/>
      <c r="D429" s="16"/>
      <c r="E429" s="3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 x14ac:dyDescent="0.55000000000000004">
      <c r="A430" s="16"/>
      <c r="B430" s="16"/>
      <c r="C430" s="16"/>
      <c r="D430" s="16"/>
      <c r="E430" s="3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 x14ac:dyDescent="0.55000000000000004">
      <c r="A431" s="16"/>
      <c r="B431" s="16"/>
      <c r="C431" s="16"/>
      <c r="D431" s="16"/>
      <c r="E431" s="3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 x14ac:dyDescent="0.55000000000000004">
      <c r="A432" s="16"/>
      <c r="B432" s="16"/>
      <c r="C432" s="16"/>
      <c r="D432" s="16"/>
      <c r="E432" s="3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 x14ac:dyDescent="0.55000000000000004">
      <c r="A433" s="16"/>
      <c r="B433" s="16"/>
      <c r="C433" s="16"/>
      <c r="D433" s="16"/>
      <c r="E433" s="3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 x14ac:dyDescent="0.55000000000000004">
      <c r="A434" s="16"/>
      <c r="B434" s="16"/>
      <c r="C434" s="16"/>
      <c r="D434" s="16"/>
      <c r="E434" s="3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 x14ac:dyDescent="0.55000000000000004">
      <c r="A435" s="16"/>
      <c r="B435" s="16"/>
      <c r="C435" s="16"/>
      <c r="D435" s="16"/>
      <c r="E435" s="3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 x14ac:dyDescent="0.55000000000000004">
      <c r="A436" s="16"/>
      <c r="B436" s="16"/>
      <c r="C436" s="16"/>
      <c r="D436" s="16"/>
      <c r="E436" s="3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 x14ac:dyDescent="0.55000000000000004">
      <c r="A437" s="16"/>
      <c r="B437" s="16"/>
      <c r="C437" s="16"/>
      <c r="D437" s="16"/>
      <c r="E437" s="3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 x14ac:dyDescent="0.55000000000000004">
      <c r="A438" s="16"/>
      <c r="B438" s="16"/>
      <c r="C438" s="16"/>
      <c r="D438" s="16"/>
      <c r="E438" s="3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 x14ac:dyDescent="0.55000000000000004">
      <c r="A439" s="16"/>
      <c r="B439" s="16"/>
      <c r="C439" s="16"/>
      <c r="D439" s="16"/>
      <c r="E439" s="3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 x14ac:dyDescent="0.55000000000000004">
      <c r="A440" s="16"/>
      <c r="B440" s="16"/>
      <c r="C440" s="16"/>
      <c r="D440" s="16"/>
      <c r="E440" s="3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 x14ac:dyDescent="0.55000000000000004">
      <c r="A441" s="16"/>
      <c r="B441" s="16"/>
      <c r="C441" s="16"/>
      <c r="D441" s="16"/>
      <c r="E441" s="3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 x14ac:dyDescent="0.55000000000000004">
      <c r="A442" s="16"/>
      <c r="B442" s="16"/>
      <c r="C442" s="16"/>
      <c r="D442" s="16"/>
      <c r="E442" s="3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 x14ac:dyDescent="0.55000000000000004">
      <c r="A443" s="16"/>
      <c r="B443" s="16"/>
      <c r="C443" s="16"/>
      <c r="D443" s="16"/>
      <c r="E443" s="3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 x14ac:dyDescent="0.55000000000000004">
      <c r="A444" s="16"/>
      <c r="B444" s="16"/>
      <c r="C444" s="16"/>
      <c r="D444" s="16"/>
      <c r="E444" s="3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 x14ac:dyDescent="0.55000000000000004">
      <c r="A445" s="16"/>
      <c r="B445" s="16"/>
      <c r="C445" s="16"/>
      <c r="D445" s="16"/>
      <c r="E445" s="3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 x14ac:dyDescent="0.55000000000000004">
      <c r="A446" s="16"/>
      <c r="B446" s="16"/>
      <c r="C446" s="16"/>
      <c r="D446" s="16"/>
      <c r="E446" s="3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 x14ac:dyDescent="0.55000000000000004">
      <c r="A447" s="16"/>
      <c r="B447" s="16"/>
      <c r="C447" s="16"/>
      <c r="D447" s="16"/>
      <c r="E447" s="3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 x14ac:dyDescent="0.55000000000000004">
      <c r="A448" s="16"/>
      <c r="B448" s="16"/>
      <c r="C448" s="16"/>
      <c r="D448" s="16"/>
      <c r="E448" s="3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 x14ac:dyDescent="0.55000000000000004">
      <c r="A449" s="16"/>
      <c r="B449" s="16"/>
      <c r="C449" s="16"/>
      <c r="D449" s="16"/>
      <c r="E449" s="3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 x14ac:dyDescent="0.55000000000000004">
      <c r="A450" s="16"/>
      <c r="B450" s="16"/>
      <c r="C450" s="16"/>
      <c r="D450" s="16"/>
      <c r="E450" s="3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 x14ac:dyDescent="0.55000000000000004">
      <c r="A451" s="16"/>
      <c r="B451" s="16"/>
      <c r="C451" s="16"/>
      <c r="D451" s="16"/>
      <c r="E451" s="3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 x14ac:dyDescent="0.55000000000000004">
      <c r="A452" s="16"/>
      <c r="B452" s="16"/>
      <c r="C452" s="16"/>
      <c r="D452" s="16"/>
      <c r="E452" s="3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 x14ac:dyDescent="0.55000000000000004">
      <c r="A453" s="16"/>
      <c r="B453" s="16"/>
      <c r="C453" s="16"/>
      <c r="D453" s="16"/>
      <c r="E453" s="3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 x14ac:dyDescent="0.55000000000000004">
      <c r="A454" s="16"/>
      <c r="B454" s="16"/>
      <c r="C454" s="16"/>
      <c r="D454" s="16"/>
      <c r="E454" s="3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 x14ac:dyDescent="0.55000000000000004">
      <c r="A455" s="16"/>
      <c r="B455" s="16"/>
      <c r="C455" s="16"/>
      <c r="D455" s="16"/>
      <c r="E455" s="3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 x14ac:dyDescent="0.55000000000000004">
      <c r="A456" s="16"/>
      <c r="B456" s="16"/>
      <c r="C456" s="16"/>
      <c r="D456" s="16"/>
      <c r="E456" s="3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 x14ac:dyDescent="0.55000000000000004">
      <c r="A457" s="16"/>
      <c r="B457" s="16"/>
      <c r="C457" s="16"/>
      <c r="D457" s="16"/>
      <c r="E457" s="3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 x14ac:dyDescent="0.55000000000000004">
      <c r="A458" s="16"/>
      <c r="B458" s="16"/>
      <c r="C458" s="16"/>
      <c r="D458" s="16"/>
      <c r="E458" s="3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 x14ac:dyDescent="0.55000000000000004">
      <c r="A459" s="16"/>
      <c r="B459" s="16"/>
      <c r="C459" s="16"/>
      <c r="D459" s="16"/>
      <c r="E459" s="3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 x14ac:dyDescent="0.55000000000000004">
      <c r="A460" s="16"/>
      <c r="B460" s="16"/>
      <c r="C460" s="16"/>
      <c r="D460" s="16"/>
      <c r="E460" s="3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 x14ac:dyDescent="0.55000000000000004">
      <c r="A461" s="16"/>
      <c r="B461" s="16"/>
      <c r="C461" s="16"/>
      <c r="D461" s="16"/>
      <c r="E461" s="3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 x14ac:dyDescent="0.55000000000000004">
      <c r="A462" s="16"/>
      <c r="B462" s="16"/>
      <c r="C462" s="16"/>
      <c r="D462" s="16"/>
      <c r="E462" s="3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 x14ac:dyDescent="0.55000000000000004">
      <c r="A463" s="16"/>
      <c r="B463" s="16"/>
      <c r="C463" s="16"/>
      <c r="D463" s="16"/>
      <c r="E463" s="3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 x14ac:dyDescent="0.55000000000000004">
      <c r="A464" s="16"/>
      <c r="B464" s="16"/>
      <c r="C464" s="16"/>
      <c r="D464" s="16"/>
      <c r="E464" s="3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 x14ac:dyDescent="0.55000000000000004">
      <c r="A465" s="16"/>
      <c r="B465" s="16"/>
      <c r="C465" s="16"/>
      <c r="D465" s="16"/>
      <c r="E465" s="3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 x14ac:dyDescent="0.55000000000000004">
      <c r="A466" s="16"/>
      <c r="B466" s="16"/>
      <c r="C466" s="16"/>
      <c r="D466" s="16"/>
      <c r="E466" s="3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 x14ac:dyDescent="0.55000000000000004">
      <c r="A467" s="16"/>
      <c r="B467" s="16"/>
      <c r="C467" s="16"/>
      <c r="D467" s="16"/>
      <c r="E467" s="3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 x14ac:dyDescent="0.55000000000000004">
      <c r="A468" s="16"/>
      <c r="B468" s="16"/>
      <c r="C468" s="16"/>
      <c r="D468" s="16"/>
      <c r="E468" s="3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 x14ac:dyDescent="0.55000000000000004">
      <c r="A469" s="16"/>
      <c r="B469" s="16"/>
      <c r="C469" s="16"/>
      <c r="D469" s="16"/>
      <c r="E469" s="3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 x14ac:dyDescent="0.55000000000000004">
      <c r="A470" s="16"/>
      <c r="B470" s="16"/>
      <c r="C470" s="16"/>
      <c r="D470" s="16"/>
      <c r="E470" s="3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 x14ac:dyDescent="0.55000000000000004">
      <c r="A471" s="16"/>
      <c r="B471" s="16"/>
      <c r="C471" s="16"/>
      <c r="D471" s="16"/>
      <c r="E471" s="3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 x14ac:dyDescent="0.55000000000000004">
      <c r="A472" s="16"/>
      <c r="B472" s="16"/>
      <c r="C472" s="16"/>
      <c r="D472" s="16"/>
      <c r="E472" s="3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 x14ac:dyDescent="0.55000000000000004">
      <c r="A473" s="16"/>
      <c r="B473" s="16"/>
      <c r="C473" s="16"/>
      <c r="D473" s="16"/>
      <c r="E473" s="3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 x14ac:dyDescent="0.55000000000000004">
      <c r="A474" s="16"/>
      <c r="B474" s="16"/>
      <c r="C474" s="16"/>
      <c r="D474" s="16"/>
      <c r="E474" s="3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 x14ac:dyDescent="0.55000000000000004">
      <c r="A475" s="16"/>
      <c r="B475" s="16"/>
      <c r="C475" s="16"/>
      <c r="D475" s="16"/>
      <c r="E475" s="3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 x14ac:dyDescent="0.55000000000000004">
      <c r="A476" s="16"/>
      <c r="B476" s="16"/>
      <c r="C476" s="16"/>
      <c r="D476" s="16"/>
      <c r="E476" s="3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 x14ac:dyDescent="0.55000000000000004">
      <c r="A477" s="16"/>
      <c r="B477" s="16"/>
      <c r="C477" s="16"/>
      <c r="D477" s="16"/>
      <c r="E477" s="3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 x14ac:dyDescent="0.55000000000000004">
      <c r="A478" s="16"/>
      <c r="B478" s="16"/>
      <c r="C478" s="16"/>
      <c r="D478" s="16"/>
      <c r="E478" s="3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 x14ac:dyDescent="0.55000000000000004">
      <c r="A479" s="16"/>
      <c r="B479" s="16"/>
      <c r="C479" s="16"/>
      <c r="D479" s="16"/>
      <c r="E479" s="3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 x14ac:dyDescent="0.55000000000000004">
      <c r="A480" s="16"/>
      <c r="B480" s="16"/>
      <c r="C480" s="16"/>
      <c r="D480" s="16"/>
      <c r="E480" s="3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 x14ac:dyDescent="0.55000000000000004">
      <c r="A481" s="16"/>
      <c r="B481" s="16"/>
      <c r="C481" s="16"/>
      <c r="D481" s="16"/>
      <c r="E481" s="3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 x14ac:dyDescent="0.55000000000000004">
      <c r="A482" s="16"/>
      <c r="B482" s="16"/>
      <c r="C482" s="16"/>
      <c r="D482" s="16"/>
      <c r="E482" s="3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 x14ac:dyDescent="0.55000000000000004">
      <c r="A483" s="16"/>
      <c r="B483" s="16"/>
      <c r="C483" s="16"/>
      <c r="D483" s="16"/>
      <c r="E483" s="3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 x14ac:dyDescent="0.55000000000000004">
      <c r="A484" s="16"/>
      <c r="B484" s="16"/>
      <c r="C484" s="16"/>
      <c r="D484" s="16"/>
      <c r="E484" s="3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 x14ac:dyDescent="0.55000000000000004">
      <c r="A485" s="16"/>
      <c r="B485" s="16"/>
      <c r="C485" s="16"/>
      <c r="D485" s="16"/>
      <c r="E485" s="3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 x14ac:dyDescent="0.55000000000000004">
      <c r="A486" s="16"/>
      <c r="B486" s="16"/>
      <c r="C486" s="16"/>
      <c r="D486" s="16"/>
      <c r="E486" s="3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 x14ac:dyDescent="0.55000000000000004">
      <c r="A487" s="16"/>
      <c r="B487" s="16"/>
      <c r="C487" s="16"/>
      <c r="D487" s="16"/>
      <c r="E487" s="3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 x14ac:dyDescent="0.55000000000000004">
      <c r="A488" s="16"/>
      <c r="B488" s="16"/>
      <c r="C488" s="16"/>
      <c r="D488" s="16"/>
      <c r="E488" s="3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 x14ac:dyDescent="0.55000000000000004">
      <c r="A489" s="16"/>
      <c r="B489" s="16"/>
      <c r="C489" s="16"/>
      <c r="D489" s="16"/>
      <c r="E489" s="3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 x14ac:dyDescent="0.55000000000000004">
      <c r="A490" s="16"/>
      <c r="B490" s="16"/>
      <c r="C490" s="16"/>
      <c r="D490" s="16"/>
      <c r="E490" s="3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 x14ac:dyDescent="0.55000000000000004">
      <c r="A491" s="16"/>
      <c r="B491" s="16"/>
      <c r="C491" s="16"/>
      <c r="D491" s="16"/>
      <c r="E491" s="3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 x14ac:dyDescent="0.55000000000000004">
      <c r="A492" s="16"/>
      <c r="B492" s="16"/>
      <c r="C492" s="16"/>
      <c r="D492" s="16"/>
      <c r="E492" s="3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 x14ac:dyDescent="0.55000000000000004">
      <c r="A493" s="16"/>
      <c r="B493" s="16"/>
      <c r="C493" s="16"/>
      <c r="D493" s="16"/>
      <c r="E493" s="3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 x14ac:dyDescent="0.55000000000000004">
      <c r="A494" s="16"/>
      <c r="B494" s="16"/>
      <c r="C494" s="16"/>
      <c r="D494" s="16"/>
      <c r="E494" s="3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 x14ac:dyDescent="0.55000000000000004">
      <c r="A495" s="16"/>
      <c r="B495" s="16"/>
      <c r="C495" s="16"/>
      <c r="D495" s="16"/>
      <c r="E495" s="3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 x14ac:dyDescent="0.55000000000000004">
      <c r="A496" s="16"/>
      <c r="B496" s="16"/>
      <c r="C496" s="16"/>
      <c r="D496" s="16"/>
      <c r="E496" s="3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 x14ac:dyDescent="0.55000000000000004">
      <c r="A497" s="16"/>
      <c r="B497" s="16"/>
      <c r="C497" s="16"/>
      <c r="D497" s="16"/>
      <c r="E497" s="3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 x14ac:dyDescent="0.55000000000000004">
      <c r="A498" s="16"/>
      <c r="B498" s="16"/>
      <c r="C498" s="16"/>
      <c r="D498" s="16"/>
      <c r="E498" s="3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 x14ac:dyDescent="0.55000000000000004">
      <c r="A499" s="16"/>
      <c r="B499" s="16"/>
      <c r="C499" s="16"/>
      <c r="D499" s="16"/>
      <c r="E499" s="3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 x14ac:dyDescent="0.55000000000000004">
      <c r="A500" s="16"/>
      <c r="B500" s="16"/>
      <c r="C500" s="16"/>
      <c r="D500" s="16"/>
      <c r="E500" s="3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 x14ac:dyDescent="0.55000000000000004">
      <c r="A501" s="16"/>
      <c r="B501" s="16"/>
      <c r="C501" s="16"/>
      <c r="D501" s="16"/>
      <c r="E501" s="3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 x14ac:dyDescent="0.55000000000000004">
      <c r="A502" s="16"/>
      <c r="B502" s="16"/>
      <c r="C502" s="16"/>
      <c r="D502" s="16"/>
      <c r="E502" s="3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 x14ac:dyDescent="0.55000000000000004">
      <c r="A503" s="16"/>
      <c r="B503" s="16"/>
      <c r="C503" s="16"/>
      <c r="D503" s="16"/>
      <c r="E503" s="3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 x14ac:dyDescent="0.55000000000000004">
      <c r="A504" s="16"/>
      <c r="B504" s="16"/>
      <c r="C504" s="16"/>
      <c r="D504" s="16"/>
      <c r="E504" s="3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 x14ac:dyDescent="0.55000000000000004">
      <c r="A505" s="16"/>
      <c r="B505" s="16"/>
      <c r="C505" s="16"/>
      <c r="D505" s="16"/>
      <c r="E505" s="3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 x14ac:dyDescent="0.55000000000000004">
      <c r="A506" s="16"/>
      <c r="B506" s="16"/>
      <c r="C506" s="16"/>
      <c r="D506" s="16"/>
      <c r="E506" s="3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 x14ac:dyDescent="0.55000000000000004">
      <c r="A507" s="16"/>
      <c r="B507" s="16"/>
      <c r="C507" s="16"/>
      <c r="D507" s="16"/>
      <c r="E507" s="3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 x14ac:dyDescent="0.55000000000000004">
      <c r="A508" s="16"/>
      <c r="B508" s="16"/>
      <c r="C508" s="16"/>
      <c r="D508" s="16"/>
      <c r="E508" s="3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 x14ac:dyDescent="0.55000000000000004">
      <c r="A509" s="16"/>
      <c r="B509" s="16"/>
      <c r="C509" s="16"/>
      <c r="D509" s="16"/>
      <c r="E509" s="3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 x14ac:dyDescent="0.55000000000000004">
      <c r="A510" s="16"/>
      <c r="B510" s="16"/>
      <c r="C510" s="16"/>
      <c r="D510" s="16"/>
      <c r="E510" s="3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 x14ac:dyDescent="0.55000000000000004">
      <c r="A511" s="16"/>
      <c r="B511" s="16"/>
      <c r="C511" s="16"/>
      <c r="D511" s="16"/>
      <c r="E511" s="3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 x14ac:dyDescent="0.55000000000000004">
      <c r="A512" s="16"/>
      <c r="B512" s="16"/>
      <c r="C512" s="16"/>
      <c r="D512" s="16"/>
      <c r="E512" s="3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 x14ac:dyDescent="0.55000000000000004">
      <c r="A513" s="16"/>
      <c r="B513" s="16"/>
      <c r="C513" s="16"/>
      <c r="D513" s="16"/>
      <c r="E513" s="3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 x14ac:dyDescent="0.55000000000000004">
      <c r="A514" s="16"/>
      <c r="B514" s="16"/>
      <c r="C514" s="16"/>
      <c r="D514" s="16"/>
      <c r="E514" s="3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 x14ac:dyDescent="0.55000000000000004">
      <c r="A515" s="16"/>
      <c r="B515" s="16"/>
      <c r="C515" s="16"/>
      <c r="D515" s="16"/>
      <c r="E515" s="3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 x14ac:dyDescent="0.55000000000000004">
      <c r="A516" s="16"/>
      <c r="B516" s="16"/>
      <c r="C516" s="16"/>
      <c r="D516" s="16"/>
      <c r="E516" s="3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 x14ac:dyDescent="0.55000000000000004">
      <c r="A517" s="16"/>
      <c r="B517" s="16"/>
      <c r="C517" s="16"/>
      <c r="D517" s="16"/>
      <c r="E517" s="3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 x14ac:dyDescent="0.55000000000000004">
      <c r="A518" s="16"/>
      <c r="B518" s="16"/>
      <c r="C518" s="16"/>
      <c r="D518" s="16"/>
      <c r="E518" s="3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 x14ac:dyDescent="0.55000000000000004">
      <c r="A519" s="16"/>
      <c r="B519" s="16"/>
      <c r="C519" s="16"/>
      <c r="D519" s="16"/>
      <c r="E519" s="3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 x14ac:dyDescent="0.55000000000000004">
      <c r="A520" s="16"/>
      <c r="B520" s="16"/>
      <c r="C520" s="16"/>
      <c r="D520" s="16"/>
      <c r="E520" s="3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 x14ac:dyDescent="0.55000000000000004">
      <c r="A521" s="16"/>
      <c r="B521" s="16"/>
      <c r="C521" s="16"/>
      <c r="D521" s="16"/>
      <c r="E521" s="3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 x14ac:dyDescent="0.55000000000000004">
      <c r="A522" s="16"/>
      <c r="B522" s="16"/>
      <c r="C522" s="16"/>
      <c r="D522" s="16"/>
      <c r="E522" s="3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 x14ac:dyDescent="0.55000000000000004">
      <c r="A523" s="16"/>
      <c r="B523" s="16"/>
      <c r="C523" s="16"/>
      <c r="D523" s="16"/>
      <c r="E523" s="3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 x14ac:dyDescent="0.55000000000000004">
      <c r="A524" s="16"/>
      <c r="B524" s="16"/>
      <c r="C524" s="16"/>
      <c r="D524" s="16"/>
      <c r="E524" s="3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 x14ac:dyDescent="0.55000000000000004">
      <c r="A525" s="16"/>
      <c r="B525" s="16"/>
      <c r="C525" s="16"/>
      <c r="D525" s="16"/>
      <c r="E525" s="3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 x14ac:dyDescent="0.55000000000000004">
      <c r="A526" s="16"/>
      <c r="B526" s="16"/>
      <c r="C526" s="16"/>
      <c r="D526" s="16"/>
      <c r="E526" s="3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 x14ac:dyDescent="0.55000000000000004">
      <c r="A527" s="16"/>
      <c r="B527" s="16"/>
      <c r="C527" s="16"/>
      <c r="D527" s="16"/>
      <c r="E527" s="3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 x14ac:dyDescent="0.55000000000000004">
      <c r="A528" s="16"/>
      <c r="B528" s="16"/>
      <c r="C528" s="16"/>
      <c r="D528" s="16"/>
      <c r="E528" s="3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 x14ac:dyDescent="0.55000000000000004">
      <c r="A529" s="16"/>
      <c r="B529" s="16"/>
      <c r="C529" s="16"/>
      <c r="D529" s="16"/>
      <c r="E529" s="3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 x14ac:dyDescent="0.55000000000000004">
      <c r="A530" s="16"/>
      <c r="B530" s="16"/>
      <c r="C530" s="16"/>
      <c r="D530" s="16"/>
      <c r="E530" s="3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 x14ac:dyDescent="0.55000000000000004">
      <c r="A531" s="16"/>
      <c r="B531" s="16"/>
      <c r="C531" s="16"/>
      <c r="D531" s="16"/>
      <c r="E531" s="3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 x14ac:dyDescent="0.55000000000000004">
      <c r="A532" s="16"/>
      <c r="B532" s="16"/>
      <c r="C532" s="16"/>
      <c r="D532" s="16"/>
      <c r="E532" s="3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 x14ac:dyDescent="0.55000000000000004">
      <c r="A533" s="16"/>
      <c r="B533" s="16"/>
      <c r="C533" s="16"/>
      <c r="D533" s="16"/>
      <c r="E533" s="3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 x14ac:dyDescent="0.55000000000000004">
      <c r="A534" s="16"/>
      <c r="B534" s="16"/>
      <c r="C534" s="16"/>
      <c r="D534" s="16"/>
      <c r="E534" s="3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 x14ac:dyDescent="0.55000000000000004">
      <c r="A535" s="16"/>
      <c r="B535" s="16"/>
      <c r="C535" s="16"/>
      <c r="D535" s="16"/>
      <c r="E535" s="3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 x14ac:dyDescent="0.55000000000000004">
      <c r="A536" s="16"/>
      <c r="B536" s="16"/>
      <c r="C536" s="16"/>
      <c r="D536" s="16"/>
      <c r="E536" s="3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 x14ac:dyDescent="0.55000000000000004">
      <c r="A537" s="16"/>
      <c r="B537" s="16"/>
      <c r="C537" s="16"/>
      <c r="D537" s="16"/>
      <c r="E537" s="3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 x14ac:dyDescent="0.55000000000000004">
      <c r="A538" s="16"/>
      <c r="B538" s="16"/>
      <c r="C538" s="16"/>
      <c r="D538" s="16"/>
      <c r="E538" s="3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 x14ac:dyDescent="0.55000000000000004">
      <c r="A539" s="16"/>
      <c r="B539" s="16"/>
      <c r="C539" s="16"/>
      <c r="D539" s="16"/>
      <c r="E539" s="3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 x14ac:dyDescent="0.55000000000000004">
      <c r="A540" s="16"/>
      <c r="B540" s="16"/>
      <c r="C540" s="16"/>
      <c r="D540" s="16"/>
      <c r="E540" s="3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 x14ac:dyDescent="0.55000000000000004">
      <c r="A541" s="16"/>
      <c r="B541" s="16"/>
      <c r="C541" s="16"/>
      <c r="D541" s="16"/>
      <c r="E541" s="3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 x14ac:dyDescent="0.55000000000000004">
      <c r="A542" s="16"/>
      <c r="B542" s="16"/>
      <c r="C542" s="16"/>
      <c r="D542" s="16"/>
      <c r="E542" s="3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 x14ac:dyDescent="0.55000000000000004">
      <c r="A543" s="16"/>
      <c r="B543" s="16"/>
      <c r="C543" s="16"/>
      <c r="D543" s="16"/>
      <c r="E543" s="3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 x14ac:dyDescent="0.55000000000000004">
      <c r="A544" s="16"/>
      <c r="B544" s="16"/>
      <c r="C544" s="16"/>
      <c r="D544" s="16"/>
      <c r="E544" s="3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 x14ac:dyDescent="0.55000000000000004">
      <c r="A545" s="16"/>
      <c r="B545" s="16"/>
      <c r="C545" s="16"/>
      <c r="D545" s="16"/>
      <c r="E545" s="3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 x14ac:dyDescent="0.55000000000000004">
      <c r="A546" s="16"/>
      <c r="B546" s="16"/>
      <c r="C546" s="16"/>
      <c r="D546" s="16"/>
      <c r="E546" s="3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 x14ac:dyDescent="0.55000000000000004">
      <c r="A547" s="16"/>
      <c r="B547" s="16"/>
      <c r="C547" s="16"/>
      <c r="D547" s="16"/>
      <c r="E547" s="3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 x14ac:dyDescent="0.55000000000000004">
      <c r="A548" s="16"/>
      <c r="B548" s="16"/>
      <c r="C548" s="16"/>
      <c r="D548" s="16"/>
      <c r="E548" s="3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 x14ac:dyDescent="0.55000000000000004">
      <c r="A549" s="16"/>
      <c r="B549" s="16"/>
      <c r="C549" s="16"/>
      <c r="D549" s="16"/>
      <c r="E549" s="3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 x14ac:dyDescent="0.55000000000000004">
      <c r="A550" s="16"/>
      <c r="B550" s="16"/>
      <c r="C550" s="16"/>
      <c r="D550" s="16"/>
      <c r="E550" s="3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 x14ac:dyDescent="0.55000000000000004">
      <c r="A551" s="16"/>
      <c r="B551" s="16"/>
      <c r="C551" s="16"/>
      <c r="D551" s="16"/>
      <c r="E551" s="3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 x14ac:dyDescent="0.55000000000000004">
      <c r="A552" s="16"/>
      <c r="B552" s="16"/>
      <c r="C552" s="16"/>
      <c r="D552" s="16"/>
      <c r="E552" s="3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 x14ac:dyDescent="0.55000000000000004">
      <c r="A553" s="16"/>
      <c r="B553" s="16"/>
      <c r="C553" s="16"/>
      <c r="D553" s="16"/>
      <c r="E553" s="3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 x14ac:dyDescent="0.55000000000000004">
      <c r="A554" s="16"/>
      <c r="B554" s="16"/>
      <c r="C554" s="16"/>
      <c r="D554" s="16"/>
      <c r="E554" s="3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 x14ac:dyDescent="0.55000000000000004">
      <c r="A555" s="16"/>
      <c r="B555" s="16"/>
      <c r="C555" s="16"/>
      <c r="D555" s="16"/>
      <c r="E555" s="3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 x14ac:dyDescent="0.55000000000000004">
      <c r="A556" s="16"/>
      <c r="B556" s="16"/>
      <c r="C556" s="16"/>
      <c r="D556" s="16"/>
      <c r="E556" s="3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 x14ac:dyDescent="0.55000000000000004">
      <c r="A557" s="16"/>
      <c r="B557" s="16"/>
      <c r="C557" s="16"/>
      <c r="D557" s="16"/>
      <c r="E557" s="3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 x14ac:dyDescent="0.55000000000000004">
      <c r="A558" s="16"/>
      <c r="B558" s="16"/>
      <c r="C558" s="16"/>
      <c r="D558" s="16"/>
      <c r="E558" s="3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 x14ac:dyDescent="0.55000000000000004">
      <c r="A559" s="16"/>
      <c r="B559" s="16"/>
      <c r="C559" s="16"/>
      <c r="D559" s="16"/>
      <c r="E559" s="3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 x14ac:dyDescent="0.55000000000000004">
      <c r="A560" s="16"/>
      <c r="B560" s="16"/>
      <c r="C560" s="16"/>
      <c r="D560" s="16"/>
      <c r="E560" s="3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 x14ac:dyDescent="0.55000000000000004">
      <c r="A561" s="16"/>
      <c r="B561" s="16"/>
      <c r="C561" s="16"/>
      <c r="D561" s="16"/>
      <c r="E561" s="3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 x14ac:dyDescent="0.55000000000000004">
      <c r="A562" s="16"/>
      <c r="B562" s="16"/>
      <c r="C562" s="16"/>
      <c r="D562" s="16"/>
      <c r="E562" s="3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 x14ac:dyDescent="0.55000000000000004">
      <c r="A563" s="16"/>
      <c r="B563" s="16"/>
      <c r="C563" s="16"/>
      <c r="D563" s="16"/>
      <c r="E563" s="3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 x14ac:dyDescent="0.55000000000000004">
      <c r="A564" s="16"/>
      <c r="B564" s="16"/>
      <c r="C564" s="16"/>
      <c r="D564" s="16"/>
      <c r="E564" s="3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 x14ac:dyDescent="0.55000000000000004">
      <c r="A565" s="16"/>
      <c r="B565" s="16"/>
      <c r="C565" s="16"/>
      <c r="D565" s="16"/>
      <c r="E565" s="3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 x14ac:dyDescent="0.55000000000000004">
      <c r="A566" s="16"/>
      <c r="B566" s="16"/>
      <c r="C566" s="16"/>
      <c r="D566" s="16"/>
      <c r="E566" s="3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 x14ac:dyDescent="0.55000000000000004">
      <c r="A567" s="16"/>
      <c r="B567" s="16"/>
      <c r="C567" s="16"/>
      <c r="D567" s="16"/>
      <c r="E567" s="3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 x14ac:dyDescent="0.55000000000000004">
      <c r="A568" s="16"/>
      <c r="B568" s="16"/>
      <c r="C568" s="16"/>
      <c r="D568" s="16"/>
      <c r="E568" s="3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 x14ac:dyDescent="0.55000000000000004">
      <c r="A569" s="16"/>
      <c r="B569" s="16"/>
      <c r="C569" s="16"/>
      <c r="D569" s="16"/>
      <c r="E569" s="3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 x14ac:dyDescent="0.55000000000000004">
      <c r="A570" s="16"/>
      <c r="B570" s="16"/>
      <c r="C570" s="16"/>
      <c r="D570" s="16"/>
      <c r="E570" s="3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 x14ac:dyDescent="0.55000000000000004">
      <c r="A571" s="16"/>
      <c r="B571" s="16"/>
      <c r="C571" s="16"/>
      <c r="D571" s="16"/>
      <c r="E571" s="3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 x14ac:dyDescent="0.55000000000000004">
      <c r="A572" s="16"/>
      <c r="B572" s="16"/>
      <c r="C572" s="16"/>
      <c r="D572" s="16"/>
      <c r="E572" s="3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 x14ac:dyDescent="0.55000000000000004">
      <c r="A573" s="16"/>
      <c r="B573" s="16"/>
      <c r="C573" s="16"/>
      <c r="D573" s="16"/>
      <c r="E573" s="3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 x14ac:dyDescent="0.55000000000000004">
      <c r="A574" s="16"/>
      <c r="B574" s="16"/>
      <c r="C574" s="16"/>
      <c r="D574" s="16"/>
      <c r="E574" s="3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 x14ac:dyDescent="0.55000000000000004">
      <c r="A575" s="16"/>
      <c r="B575" s="16"/>
      <c r="C575" s="16"/>
      <c r="D575" s="16"/>
      <c r="E575" s="3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 x14ac:dyDescent="0.55000000000000004">
      <c r="A576" s="16"/>
      <c r="B576" s="16"/>
      <c r="C576" s="16"/>
      <c r="D576" s="16"/>
      <c r="E576" s="3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 x14ac:dyDescent="0.55000000000000004">
      <c r="A577" s="16"/>
      <c r="B577" s="16"/>
      <c r="C577" s="16"/>
      <c r="D577" s="16"/>
      <c r="E577" s="3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 x14ac:dyDescent="0.55000000000000004">
      <c r="A578" s="16"/>
      <c r="B578" s="16"/>
      <c r="C578" s="16"/>
      <c r="D578" s="16"/>
      <c r="E578" s="3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 x14ac:dyDescent="0.55000000000000004">
      <c r="A579" s="16"/>
      <c r="B579" s="16"/>
      <c r="C579" s="16"/>
      <c r="D579" s="16"/>
      <c r="E579" s="3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 x14ac:dyDescent="0.55000000000000004">
      <c r="A580" s="16"/>
      <c r="B580" s="16"/>
      <c r="C580" s="16"/>
      <c r="D580" s="16"/>
      <c r="E580" s="3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 x14ac:dyDescent="0.55000000000000004">
      <c r="A581" s="16"/>
      <c r="B581" s="16"/>
      <c r="C581" s="16"/>
      <c r="D581" s="16"/>
      <c r="E581" s="3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 x14ac:dyDescent="0.55000000000000004">
      <c r="A582" s="16"/>
      <c r="B582" s="16"/>
      <c r="C582" s="16"/>
      <c r="D582" s="16"/>
      <c r="E582" s="3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 x14ac:dyDescent="0.55000000000000004">
      <c r="A583" s="16"/>
      <c r="B583" s="16"/>
      <c r="C583" s="16"/>
      <c r="D583" s="16"/>
      <c r="E583" s="3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 x14ac:dyDescent="0.55000000000000004">
      <c r="A584" s="16"/>
      <c r="B584" s="16"/>
      <c r="C584" s="16"/>
      <c r="D584" s="16"/>
      <c r="E584" s="3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 x14ac:dyDescent="0.55000000000000004">
      <c r="A585" s="16"/>
      <c r="B585" s="16"/>
      <c r="C585" s="16"/>
      <c r="D585" s="16"/>
      <c r="E585" s="3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 x14ac:dyDescent="0.55000000000000004">
      <c r="A586" s="16"/>
      <c r="B586" s="16"/>
      <c r="C586" s="16"/>
      <c r="D586" s="16"/>
      <c r="E586" s="3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 x14ac:dyDescent="0.55000000000000004">
      <c r="A587" s="16"/>
      <c r="B587" s="16"/>
      <c r="C587" s="16"/>
      <c r="D587" s="16"/>
      <c r="E587" s="3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 x14ac:dyDescent="0.55000000000000004">
      <c r="A588" s="16"/>
      <c r="B588" s="16"/>
      <c r="C588" s="16"/>
      <c r="D588" s="16"/>
      <c r="E588" s="3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 x14ac:dyDescent="0.55000000000000004">
      <c r="A589" s="16"/>
      <c r="B589" s="16"/>
      <c r="C589" s="16"/>
      <c r="D589" s="16"/>
      <c r="E589" s="3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 x14ac:dyDescent="0.55000000000000004">
      <c r="A590" s="16"/>
      <c r="B590" s="16"/>
      <c r="C590" s="16"/>
      <c r="D590" s="16"/>
      <c r="E590" s="3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 x14ac:dyDescent="0.55000000000000004">
      <c r="A591" s="16"/>
      <c r="B591" s="16"/>
      <c r="C591" s="16"/>
      <c r="D591" s="16"/>
      <c r="E591" s="3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 x14ac:dyDescent="0.55000000000000004">
      <c r="A592" s="16"/>
      <c r="B592" s="16"/>
      <c r="C592" s="16"/>
      <c r="D592" s="16"/>
      <c r="E592" s="3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 x14ac:dyDescent="0.55000000000000004">
      <c r="A593" s="16"/>
      <c r="B593" s="16"/>
      <c r="C593" s="16"/>
      <c r="D593" s="16"/>
      <c r="E593" s="3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 x14ac:dyDescent="0.55000000000000004">
      <c r="A594" s="16"/>
      <c r="B594" s="16"/>
      <c r="C594" s="16"/>
      <c r="D594" s="16"/>
      <c r="E594" s="3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 x14ac:dyDescent="0.55000000000000004">
      <c r="A595" s="16"/>
      <c r="B595" s="16"/>
      <c r="C595" s="16"/>
      <c r="D595" s="16"/>
      <c r="E595" s="3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 x14ac:dyDescent="0.55000000000000004">
      <c r="A596" s="16"/>
      <c r="B596" s="16"/>
      <c r="C596" s="16"/>
      <c r="D596" s="16"/>
      <c r="E596" s="3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 x14ac:dyDescent="0.55000000000000004">
      <c r="A597" s="16"/>
      <c r="B597" s="16"/>
      <c r="C597" s="16"/>
      <c r="D597" s="16"/>
      <c r="E597" s="3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 x14ac:dyDescent="0.55000000000000004">
      <c r="A598" s="16"/>
      <c r="B598" s="16"/>
      <c r="C598" s="16"/>
      <c r="D598" s="16"/>
      <c r="E598" s="3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 x14ac:dyDescent="0.55000000000000004">
      <c r="A599" s="16"/>
      <c r="B599" s="16"/>
      <c r="C599" s="16"/>
      <c r="D599" s="16"/>
      <c r="E599" s="3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 x14ac:dyDescent="0.55000000000000004">
      <c r="A600" s="16"/>
      <c r="B600" s="16"/>
      <c r="C600" s="16"/>
      <c r="D600" s="16"/>
      <c r="E600" s="3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 x14ac:dyDescent="0.55000000000000004">
      <c r="A601" s="16"/>
      <c r="B601" s="16"/>
      <c r="C601" s="16"/>
      <c r="D601" s="16"/>
      <c r="E601" s="3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 x14ac:dyDescent="0.55000000000000004">
      <c r="A602" s="16"/>
      <c r="B602" s="16"/>
      <c r="C602" s="16"/>
      <c r="D602" s="16"/>
      <c r="E602" s="3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 x14ac:dyDescent="0.55000000000000004">
      <c r="A603" s="16"/>
      <c r="B603" s="16"/>
      <c r="C603" s="16"/>
      <c r="D603" s="16"/>
      <c r="E603" s="3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 x14ac:dyDescent="0.55000000000000004">
      <c r="A604" s="16"/>
      <c r="B604" s="16"/>
      <c r="C604" s="16"/>
      <c r="D604" s="16"/>
      <c r="E604" s="3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 x14ac:dyDescent="0.55000000000000004">
      <c r="A605" s="16"/>
      <c r="B605" s="16"/>
      <c r="C605" s="16"/>
      <c r="D605" s="16"/>
      <c r="E605" s="3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 x14ac:dyDescent="0.55000000000000004">
      <c r="A606" s="16"/>
      <c r="B606" s="16"/>
      <c r="C606" s="16"/>
      <c r="D606" s="16"/>
      <c r="E606" s="3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 x14ac:dyDescent="0.55000000000000004">
      <c r="A607" s="16"/>
      <c r="B607" s="16"/>
      <c r="C607" s="16"/>
      <c r="D607" s="16"/>
      <c r="E607" s="3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 x14ac:dyDescent="0.55000000000000004">
      <c r="A608" s="16"/>
      <c r="B608" s="16"/>
      <c r="C608" s="16"/>
      <c r="D608" s="16"/>
      <c r="E608" s="3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 x14ac:dyDescent="0.55000000000000004">
      <c r="A609" s="16"/>
      <c r="B609" s="16"/>
      <c r="C609" s="16"/>
      <c r="D609" s="16"/>
      <c r="E609" s="3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 x14ac:dyDescent="0.55000000000000004">
      <c r="A610" s="16"/>
      <c r="B610" s="16"/>
      <c r="C610" s="16"/>
      <c r="D610" s="16"/>
      <c r="E610" s="3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 x14ac:dyDescent="0.55000000000000004">
      <c r="A611" s="16"/>
      <c r="B611" s="16"/>
      <c r="C611" s="16"/>
      <c r="D611" s="16"/>
      <c r="E611" s="3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 x14ac:dyDescent="0.55000000000000004">
      <c r="A612" s="16"/>
      <c r="B612" s="16"/>
      <c r="C612" s="16"/>
      <c r="D612" s="16"/>
      <c r="E612" s="3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 x14ac:dyDescent="0.55000000000000004">
      <c r="A613" s="16"/>
      <c r="B613" s="16"/>
      <c r="C613" s="16"/>
      <c r="D613" s="16"/>
      <c r="E613" s="3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 x14ac:dyDescent="0.55000000000000004">
      <c r="A614" s="16"/>
      <c r="B614" s="16"/>
      <c r="C614" s="16"/>
      <c r="D614" s="16"/>
      <c r="E614" s="3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 x14ac:dyDescent="0.55000000000000004">
      <c r="A615" s="16"/>
      <c r="B615" s="16"/>
      <c r="C615" s="16"/>
      <c r="D615" s="16"/>
      <c r="E615" s="3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 x14ac:dyDescent="0.55000000000000004">
      <c r="A616" s="16"/>
      <c r="B616" s="16"/>
      <c r="C616" s="16"/>
      <c r="D616" s="16"/>
      <c r="E616" s="3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 x14ac:dyDescent="0.55000000000000004">
      <c r="A617" s="16"/>
      <c r="B617" s="16"/>
      <c r="C617" s="16"/>
      <c r="D617" s="16"/>
      <c r="E617" s="3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 x14ac:dyDescent="0.55000000000000004">
      <c r="A618" s="16"/>
      <c r="B618" s="16"/>
      <c r="C618" s="16"/>
      <c r="D618" s="16"/>
      <c r="E618" s="3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 x14ac:dyDescent="0.55000000000000004">
      <c r="A619" s="16"/>
      <c r="B619" s="16"/>
      <c r="C619" s="16"/>
      <c r="D619" s="16"/>
      <c r="E619" s="3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 x14ac:dyDescent="0.55000000000000004">
      <c r="A620" s="16"/>
      <c r="B620" s="16"/>
      <c r="C620" s="16"/>
      <c r="D620" s="16"/>
      <c r="E620" s="3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 x14ac:dyDescent="0.55000000000000004">
      <c r="A621" s="16"/>
      <c r="B621" s="16"/>
      <c r="C621" s="16"/>
      <c r="D621" s="16"/>
      <c r="E621" s="3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 x14ac:dyDescent="0.55000000000000004">
      <c r="A622" s="16"/>
      <c r="B622" s="16"/>
      <c r="C622" s="16"/>
      <c r="D622" s="16"/>
      <c r="E622" s="3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 x14ac:dyDescent="0.55000000000000004">
      <c r="A623" s="16"/>
      <c r="B623" s="16"/>
      <c r="C623" s="16"/>
      <c r="D623" s="16"/>
      <c r="E623" s="3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 x14ac:dyDescent="0.55000000000000004">
      <c r="A624" s="16"/>
      <c r="B624" s="16"/>
      <c r="C624" s="16"/>
      <c r="D624" s="16"/>
      <c r="E624" s="3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 x14ac:dyDescent="0.55000000000000004">
      <c r="A625" s="16"/>
      <c r="B625" s="16"/>
      <c r="C625" s="16"/>
      <c r="D625" s="16"/>
      <c r="E625" s="3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 x14ac:dyDescent="0.55000000000000004">
      <c r="A626" s="16"/>
      <c r="B626" s="16"/>
      <c r="C626" s="16"/>
      <c r="D626" s="16"/>
      <c r="E626" s="3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 x14ac:dyDescent="0.55000000000000004">
      <c r="A627" s="16"/>
      <c r="B627" s="16"/>
      <c r="C627" s="16"/>
      <c r="D627" s="16"/>
      <c r="E627" s="3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 x14ac:dyDescent="0.55000000000000004">
      <c r="A628" s="16"/>
      <c r="B628" s="16"/>
      <c r="C628" s="16"/>
      <c r="D628" s="16"/>
      <c r="E628" s="3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 x14ac:dyDescent="0.55000000000000004">
      <c r="A629" s="16"/>
      <c r="B629" s="16"/>
      <c r="C629" s="16"/>
      <c r="D629" s="16"/>
      <c r="E629" s="3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 x14ac:dyDescent="0.55000000000000004">
      <c r="A630" s="16"/>
      <c r="B630" s="16"/>
      <c r="C630" s="16"/>
      <c r="D630" s="16"/>
      <c r="E630" s="3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 x14ac:dyDescent="0.55000000000000004">
      <c r="A631" s="16"/>
      <c r="B631" s="16"/>
      <c r="C631" s="16"/>
      <c r="D631" s="16"/>
      <c r="E631" s="3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 x14ac:dyDescent="0.55000000000000004">
      <c r="A632" s="16"/>
      <c r="B632" s="16"/>
      <c r="C632" s="16"/>
      <c r="D632" s="16"/>
      <c r="E632" s="3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 x14ac:dyDescent="0.55000000000000004">
      <c r="A633" s="16"/>
      <c r="B633" s="16"/>
      <c r="C633" s="16"/>
      <c r="D633" s="16"/>
      <c r="E633" s="3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 x14ac:dyDescent="0.55000000000000004">
      <c r="A634" s="16"/>
      <c r="B634" s="16"/>
      <c r="C634" s="16"/>
      <c r="D634" s="16"/>
      <c r="E634" s="3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 x14ac:dyDescent="0.55000000000000004">
      <c r="A635" s="16"/>
      <c r="B635" s="16"/>
      <c r="C635" s="16"/>
      <c r="D635" s="16"/>
      <c r="E635" s="3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 x14ac:dyDescent="0.55000000000000004">
      <c r="A636" s="16"/>
      <c r="B636" s="16"/>
      <c r="C636" s="16"/>
      <c r="D636" s="16"/>
      <c r="E636" s="3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 x14ac:dyDescent="0.55000000000000004">
      <c r="A637" s="16"/>
      <c r="B637" s="16"/>
      <c r="C637" s="16"/>
      <c r="D637" s="16"/>
      <c r="E637" s="3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 x14ac:dyDescent="0.55000000000000004">
      <c r="A638" s="16"/>
      <c r="B638" s="16"/>
      <c r="C638" s="16"/>
      <c r="D638" s="16"/>
      <c r="E638" s="3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 x14ac:dyDescent="0.55000000000000004">
      <c r="A639" s="16"/>
      <c r="B639" s="16"/>
      <c r="C639" s="16"/>
      <c r="D639" s="16"/>
      <c r="E639" s="3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 x14ac:dyDescent="0.55000000000000004">
      <c r="A640" s="16"/>
      <c r="B640" s="16"/>
      <c r="C640" s="16"/>
      <c r="D640" s="16"/>
      <c r="E640" s="3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 x14ac:dyDescent="0.55000000000000004">
      <c r="A641" s="16"/>
      <c r="B641" s="16"/>
      <c r="C641" s="16"/>
      <c r="D641" s="16"/>
      <c r="E641" s="3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 x14ac:dyDescent="0.55000000000000004">
      <c r="A642" s="16"/>
      <c r="B642" s="16"/>
      <c r="C642" s="16"/>
      <c r="D642" s="16"/>
      <c r="E642" s="3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 x14ac:dyDescent="0.55000000000000004">
      <c r="A643" s="16"/>
      <c r="B643" s="16"/>
      <c r="C643" s="16"/>
      <c r="D643" s="16"/>
      <c r="E643" s="3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 x14ac:dyDescent="0.55000000000000004">
      <c r="A644" s="16"/>
      <c r="B644" s="16"/>
      <c r="C644" s="16"/>
      <c r="D644" s="16"/>
      <c r="E644" s="3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 x14ac:dyDescent="0.55000000000000004">
      <c r="A645" s="16"/>
      <c r="B645" s="16"/>
      <c r="C645" s="16"/>
      <c r="D645" s="16"/>
      <c r="E645" s="3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 x14ac:dyDescent="0.55000000000000004">
      <c r="A646" s="16"/>
      <c r="B646" s="16"/>
      <c r="C646" s="16"/>
      <c r="D646" s="16"/>
      <c r="E646" s="3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 x14ac:dyDescent="0.55000000000000004">
      <c r="A647" s="16"/>
      <c r="B647" s="16"/>
      <c r="C647" s="16"/>
      <c r="D647" s="16"/>
      <c r="E647" s="3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 x14ac:dyDescent="0.55000000000000004">
      <c r="A648" s="16"/>
      <c r="B648" s="16"/>
      <c r="C648" s="16"/>
      <c r="D648" s="16"/>
      <c r="E648" s="3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 x14ac:dyDescent="0.55000000000000004">
      <c r="A649" s="16"/>
      <c r="B649" s="16"/>
      <c r="C649" s="16"/>
      <c r="D649" s="16"/>
      <c r="E649" s="3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 x14ac:dyDescent="0.55000000000000004">
      <c r="A650" s="16"/>
      <c r="B650" s="16"/>
      <c r="C650" s="16"/>
      <c r="D650" s="16"/>
      <c r="E650" s="3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 x14ac:dyDescent="0.55000000000000004">
      <c r="A651" s="16"/>
      <c r="B651" s="16"/>
      <c r="C651" s="16"/>
      <c r="D651" s="16"/>
      <c r="E651" s="3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 x14ac:dyDescent="0.55000000000000004">
      <c r="A652" s="16"/>
      <c r="B652" s="16"/>
      <c r="C652" s="16"/>
      <c r="D652" s="16"/>
      <c r="E652" s="3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 x14ac:dyDescent="0.55000000000000004">
      <c r="A653" s="16"/>
      <c r="B653" s="16"/>
      <c r="C653" s="16"/>
      <c r="D653" s="16"/>
      <c r="E653" s="3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 x14ac:dyDescent="0.55000000000000004">
      <c r="A654" s="16"/>
      <c r="B654" s="16"/>
      <c r="C654" s="16"/>
      <c r="D654" s="16"/>
      <c r="E654" s="3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 x14ac:dyDescent="0.55000000000000004">
      <c r="A655" s="16"/>
      <c r="B655" s="16"/>
      <c r="C655" s="16"/>
      <c r="D655" s="16"/>
      <c r="E655" s="3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 x14ac:dyDescent="0.55000000000000004">
      <c r="A656" s="16"/>
      <c r="B656" s="16"/>
      <c r="C656" s="16"/>
      <c r="D656" s="16"/>
      <c r="E656" s="3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 x14ac:dyDescent="0.55000000000000004">
      <c r="A657" s="16"/>
      <c r="B657" s="16"/>
      <c r="C657" s="16"/>
      <c r="D657" s="16"/>
      <c r="E657" s="3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 x14ac:dyDescent="0.55000000000000004">
      <c r="A658" s="16"/>
      <c r="B658" s="16"/>
      <c r="C658" s="16"/>
      <c r="D658" s="16"/>
      <c r="E658" s="3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 x14ac:dyDescent="0.55000000000000004">
      <c r="A659" s="16"/>
      <c r="B659" s="16"/>
      <c r="C659" s="16"/>
      <c r="D659" s="16"/>
      <c r="E659" s="3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 x14ac:dyDescent="0.55000000000000004">
      <c r="A660" s="16"/>
      <c r="B660" s="16"/>
      <c r="C660" s="16"/>
      <c r="D660" s="16"/>
      <c r="E660" s="3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 x14ac:dyDescent="0.55000000000000004">
      <c r="A661" s="16"/>
      <c r="B661" s="16"/>
      <c r="C661" s="16"/>
      <c r="D661" s="16"/>
      <c r="E661" s="3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 x14ac:dyDescent="0.55000000000000004">
      <c r="A662" s="16"/>
      <c r="B662" s="16"/>
      <c r="C662" s="16"/>
      <c r="D662" s="16"/>
      <c r="E662" s="3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 x14ac:dyDescent="0.55000000000000004">
      <c r="A663" s="16"/>
      <c r="B663" s="16"/>
      <c r="C663" s="16"/>
      <c r="D663" s="16"/>
      <c r="E663" s="3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 x14ac:dyDescent="0.55000000000000004">
      <c r="A664" s="16"/>
      <c r="B664" s="16"/>
      <c r="C664" s="16"/>
      <c r="D664" s="16"/>
      <c r="E664" s="3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 x14ac:dyDescent="0.55000000000000004">
      <c r="A665" s="16"/>
      <c r="B665" s="16"/>
      <c r="C665" s="16"/>
      <c r="D665" s="16"/>
      <c r="E665" s="3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 x14ac:dyDescent="0.55000000000000004">
      <c r="A666" s="16"/>
      <c r="B666" s="16"/>
      <c r="C666" s="16"/>
      <c r="D666" s="16"/>
      <c r="E666" s="3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 x14ac:dyDescent="0.55000000000000004">
      <c r="A667" s="16"/>
      <c r="B667" s="16"/>
      <c r="C667" s="16"/>
      <c r="D667" s="16"/>
      <c r="E667" s="3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 x14ac:dyDescent="0.55000000000000004">
      <c r="A668" s="16"/>
      <c r="B668" s="16"/>
      <c r="C668" s="16"/>
      <c r="D668" s="16"/>
      <c r="E668" s="3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 x14ac:dyDescent="0.55000000000000004">
      <c r="A669" s="16"/>
      <c r="B669" s="16"/>
      <c r="C669" s="16"/>
      <c r="D669" s="16"/>
      <c r="E669" s="3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 x14ac:dyDescent="0.55000000000000004">
      <c r="A670" s="16"/>
      <c r="B670" s="16"/>
      <c r="C670" s="16"/>
      <c r="D670" s="16"/>
      <c r="E670" s="3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 x14ac:dyDescent="0.55000000000000004">
      <c r="A671" s="16"/>
      <c r="B671" s="16"/>
      <c r="C671" s="16"/>
      <c r="D671" s="16"/>
      <c r="E671" s="3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 x14ac:dyDescent="0.55000000000000004">
      <c r="A672" s="16"/>
      <c r="B672" s="16"/>
      <c r="C672" s="16"/>
      <c r="D672" s="16"/>
      <c r="E672" s="3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 x14ac:dyDescent="0.55000000000000004">
      <c r="A673" s="16"/>
      <c r="B673" s="16"/>
      <c r="C673" s="16"/>
      <c r="D673" s="16"/>
      <c r="E673" s="3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 x14ac:dyDescent="0.55000000000000004">
      <c r="A674" s="16"/>
      <c r="B674" s="16"/>
      <c r="C674" s="16"/>
      <c r="D674" s="16"/>
      <c r="E674" s="3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 x14ac:dyDescent="0.55000000000000004">
      <c r="A675" s="16"/>
      <c r="B675" s="16"/>
      <c r="C675" s="16"/>
      <c r="D675" s="16"/>
      <c r="E675" s="3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 x14ac:dyDescent="0.55000000000000004">
      <c r="A676" s="16"/>
      <c r="B676" s="16"/>
      <c r="C676" s="16"/>
      <c r="D676" s="16"/>
      <c r="E676" s="3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 x14ac:dyDescent="0.55000000000000004">
      <c r="A677" s="16"/>
      <c r="B677" s="16"/>
      <c r="C677" s="16"/>
      <c r="D677" s="16"/>
      <c r="E677" s="3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 x14ac:dyDescent="0.55000000000000004">
      <c r="A678" s="16"/>
      <c r="B678" s="16"/>
      <c r="C678" s="16"/>
      <c r="D678" s="16"/>
      <c r="E678" s="3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 x14ac:dyDescent="0.55000000000000004">
      <c r="A679" s="16"/>
      <c r="B679" s="16"/>
      <c r="C679" s="16"/>
      <c r="D679" s="16"/>
      <c r="E679" s="3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 x14ac:dyDescent="0.55000000000000004">
      <c r="A680" s="16"/>
      <c r="B680" s="16"/>
      <c r="C680" s="16"/>
      <c r="D680" s="16"/>
      <c r="E680" s="3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 x14ac:dyDescent="0.55000000000000004">
      <c r="A681" s="16"/>
      <c r="B681" s="16"/>
      <c r="C681" s="16"/>
      <c r="D681" s="16"/>
      <c r="E681" s="3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 x14ac:dyDescent="0.55000000000000004">
      <c r="A682" s="16"/>
      <c r="B682" s="16"/>
      <c r="C682" s="16"/>
      <c r="D682" s="16"/>
      <c r="E682" s="3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 x14ac:dyDescent="0.55000000000000004">
      <c r="A683" s="16"/>
      <c r="B683" s="16"/>
      <c r="C683" s="16"/>
      <c r="D683" s="16"/>
      <c r="E683" s="3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 x14ac:dyDescent="0.55000000000000004">
      <c r="A684" s="16"/>
      <c r="B684" s="16"/>
      <c r="C684" s="16"/>
      <c r="D684" s="16"/>
      <c r="E684" s="3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 x14ac:dyDescent="0.55000000000000004">
      <c r="A685" s="16"/>
      <c r="B685" s="16"/>
      <c r="C685" s="16"/>
      <c r="D685" s="16"/>
      <c r="E685" s="3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 x14ac:dyDescent="0.55000000000000004">
      <c r="A686" s="16"/>
      <c r="B686" s="16"/>
      <c r="C686" s="16"/>
      <c r="D686" s="16"/>
      <c r="E686" s="3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 x14ac:dyDescent="0.55000000000000004">
      <c r="A687" s="16"/>
      <c r="B687" s="16"/>
      <c r="C687" s="16"/>
      <c r="D687" s="16"/>
      <c r="E687" s="3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 x14ac:dyDescent="0.55000000000000004">
      <c r="A688" s="16"/>
      <c r="B688" s="16"/>
      <c r="C688" s="16"/>
      <c r="D688" s="16"/>
      <c r="E688" s="3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 x14ac:dyDescent="0.55000000000000004">
      <c r="A689" s="16"/>
      <c r="B689" s="16"/>
      <c r="C689" s="16"/>
      <c r="D689" s="16"/>
      <c r="E689" s="3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 x14ac:dyDescent="0.55000000000000004">
      <c r="A690" s="16"/>
      <c r="B690" s="16"/>
      <c r="C690" s="16"/>
      <c r="D690" s="16"/>
      <c r="E690" s="3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 x14ac:dyDescent="0.55000000000000004">
      <c r="A691" s="16"/>
      <c r="B691" s="16"/>
      <c r="C691" s="16"/>
      <c r="D691" s="16"/>
      <c r="E691" s="3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 x14ac:dyDescent="0.55000000000000004">
      <c r="A692" s="16"/>
      <c r="B692" s="16"/>
      <c r="C692" s="16"/>
      <c r="D692" s="16"/>
      <c r="E692" s="3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 x14ac:dyDescent="0.55000000000000004">
      <c r="A693" s="16"/>
      <c r="B693" s="16"/>
      <c r="C693" s="16"/>
      <c r="D693" s="16"/>
      <c r="E693" s="3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 x14ac:dyDescent="0.55000000000000004">
      <c r="A694" s="16"/>
      <c r="B694" s="16"/>
      <c r="C694" s="16"/>
      <c r="D694" s="16"/>
      <c r="E694" s="3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 x14ac:dyDescent="0.55000000000000004">
      <c r="A695" s="16"/>
      <c r="B695" s="16"/>
      <c r="C695" s="16"/>
      <c r="D695" s="16"/>
      <c r="E695" s="3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 x14ac:dyDescent="0.55000000000000004">
      <c r="A696" s="16"/>
      <c r="B696" s="16"/>
      <c r="C696" s="16"/>
      <c r="D696" s="16"/>
      <c r="E696" s="3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 x14ac:dyDescent="0.55000000000000004">
      <c r="A697" s="16"/>
      <c r="B697" s="16"/>
      <c r="C697" s="16"/>
      <c r="D697" s="16"/>
      <c r="E697" s="3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 x14ac:dyDescent="0.55000000000000004">
      <c r="A698" s="16"/>
      <c r="B698" s="16"/>
      <c r="C698" s="16"/>
      <c r="D698" s="16"/>
      <c r="E698" s="3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 x14ac:dyDescent="0.55000000000000004">
      <c r="A699" s="16"/>
      <c r="B699" s="16"/>
      <c r="C699" s="16"/>
      <c r="D699" s="16"/>
      <c r="E699" s="3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 x14ac:dyDescent="0.55000000000000004">
      <c r="A700" s="16"/>
      <c r="B700" s="16"/>
      <c r="C700" s="16"/>
      <c r="D700" s="16"/>
      <c r="E700" s="3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 x14ac:dyDescent="0.55000000000000004">
      <c r="A701" s="16"/>
      <c r="B701" s="16"/>
      <c r="C701" s="16"/>
      <c r="D701" s="16"/>
      <c r="E701" s="3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 x14ac:dyDescent="0.55000000000000004">
      <c r="A702" s="16"/>
      <c r="B702" s="16"/>
      <c r="C702" s="16"/>
      <c r="D702" s="16"/>
      <c r="E702" s="3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 x14ac:dyDescent="0.55000000000000004">
      <c r="A703" s="16"/>
      <c r="B703" s="16"/>
      <c r="C703" s="16"/>
      <c r="D703" s="16"/>
      <c r="E703" s="3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 x14ac:dyDescent="0.55000000000000004">
      <c r="A704" s="16"/>
      <c r="B704" s="16"/>
      <c r="C704" s="16"/>
      <c r="D704" s="16"/>
      <c r="E704" s="3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 x14ac:dyDescent="0.55000000000000004">
      <c r="A705" s="16"/>
      <c r="B705" s="16"/>
      <c r="C705" s="16"/>
      <c r="D705" s="16"/>
      <c r="E705" s="3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 x14ac:dyDescent="0.55000000000000004">
      <c r="A706" s="16"/>
      <c r="B706" s="16"/>
      <c r="C706" s="16"/>
      <c r="D706" s="16"/>
      <c r="E706" s="3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 x14ac:dyDescent="0.55000000000000004">
      <c r="A707" s="16"/>
      <c r="B707" s="16"/>
      <c r="C707" s="16"/>
      <c r="D707" s="16"/>
      <c r="E707" s="3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 x14ac:dyDescent="0.55000000000000004">
      <c r="A708" s="16"/>
      <c r="B708" s="16"/>
      <c r="C708" s="16"/>
      <c r="D708" s="16"/>
      <c r="E708" s="3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 x14ac:dyDescent="0.55000000000000004">
      <c r="A709" s="16"/>
      <c r="B709" s="16"/>
      <c r="C709" s="16"/>
      <c r="D709" s="16"/>
      <c r="E709" s="3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 x14ac:dyDescent="0.55000000000000004">
      <c r="A710" s="16"/>
      <c r="B710" s="16"/>
      <c r="C710" s="16"/>
      <c r="D710" s="16"/>
      <c r="E710" s="3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 x14ac:dyDescent="0.55000000000000004">
      <c r="A711" s="16"/>
      <c r="B711" s="16"/>
      <c r="C711" s="16"/>
      <c r="D711" s="16"/>
      <c r="E711" s="3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 x14ac:dyDescent="0.55000000000000004">
      <c r="A712" s="16"/>
      <c r="B712" s="16"/>
      <c r="C712" s="16"/>
      <c r="D712" s="16"/>
      <c r="E712" s="3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 x14ac:dyDescent="0.55000000000000004">
      <c r="A713" s="16"/>
      <c r="B713" s="16"/>
      <c r="C713" s="16"/>
      <c r="D713" s="16"/>
      <c r="E713" s="3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 x14ac:dyDescent="0.55000000000000004">
      <c r="A714" s="16"/>
      <c r="B714" s="16"/>
      <c r="C714" s="16"/>
      <c r="D714" s="16"/>
      <c r="E714" s="3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 x14ac:dyDescent="0.55000000000000004">
      <c r="A715" s="16"/>
      <c r="B715" s="16"/>
      <c r="C715" s="16"/>
      <c r="D715" s="16"/>
      <c r="E715" s="3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 x14ac:dyDescent="0.55000000000000004">
      <c r="A716" s="16"/>
      <c r="B716" s="16"/>
      <c r="C716" s="16"/>
      <c r="D716" s="16"/>
      <c r="E716" s="3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 x14ac:dyDescent="0.55000000000000004">
      <c r="A717" s="16"/>
      <c r="B717" s="16"/>
      <c r="C717" s="16"/>
      <c r="D717" s="16"/>
      <c r="E717" s="3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 x14ac:dyDescent="0.55000000000000004">
      <c r="A718" s="16"/>
      <c r="B718" s="16"/>
      <c r="C718" s="16"/>
      <c r="D718" s="16"/>
      <c r="E718" s="3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 x14ac:dyDescent="0.55000000000000004">
      <c r="A719" s="16"/>
      <c r="B719" s="16"/>
      <c r="C719" s="16"/>
      <c r="D719" s="16"/>
      <c r="E719" s="3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 x14ac:dyDescent="0.55000000000000004">
      <c r="A720" s="16"/>
      <c r="B720" s="16"/>
      <c r="C720" s="16"/>
      <c r="D720" s="16"/>
      <c r="E720" s="3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 x14ac:dyDescent="0.55000000000000004">
      <c r="A721" s="16"/>
      <c r="B721" s="16"/>
      <c r="C721" s="16"/>
      <c r="D721" s="16"/>
      <c r="E721" s="3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 x14ac:dyDescent="0.55000000000000004">
      <c r="A722" s="16"/>
      <c r="B722" s="16"/>
      <c r="C722" s="16"/>
      <c r="D722" s="16"/>
      <c r="E722" s="3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 x14ac:dyDescent="0.55000000000000004">
      <c r="A723" s="16"/>
      <c r="B723" s="16"/>
      <c r="C723" s="16"/>
      <c r="D723" s="16"/>
      <c r="E723" s="3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 x14ac:dyDescent="0.55000000000000004">
      <c r="A724" s="16"/>
      <c r="B724" s="16"/>
      <c r="C724" s="16"/>
      <c r="D724" s="16"/>
      <c r="E724" s="3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 x14ac:dyDescent="0.55000000000000004">
      <c r="A725" s="16"/>
      <c r="B725" s="16"/>
      <c r="C725" s="16"/>
      <c r="D725" s="16"/>
      <c r="E725" s="3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 x14ac:dyDescent="0.55000000000000004">
      <c r="A726" s="16"/>
      <c r="B726" s="16"/>
      <c r="C726" s="16"/>
      <c r="D726" s="16"/>
      <c r="E726" s="3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 x14ac:dyDescent="0.55000000000000004">
      <c r="A727" s="16"/>
      <c r="B727" s="16"/>
      <c r="C727" s="16"/>
      <c r="D727" s="16"/>
      <c r="E727" s="3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 x14ac:dyDescent="0.55000000000000004">
      <c r="A728" s="16"/>
      <c r="B728" s="16"/>
      <c r="C728" s="16"/>
      <c r="D728" s="16"/>
      <c r="E728" s="3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 x14ac:dyDescent="0.55000000000000004">
      <c r="A729" s="16"/>
      <c r="B729" s="16"/>
      <c r="C729" s="16"/>
      <c r="D729" s="16"/>
      <c r="E729" s="3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 x14ac:dyDescent="0.55000000000000004">
      <c r="A730" s="16"/>
      <c r="B730" s="16"/>
      <c r="C730" s="16"/>
      <c r="D730" s="16"/>
      <c r="E730" s="3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 x14ac:dyDescent="0.55000000000000004">
      <c r="A731" s="16"/>
      <c r="B731" s="16"/>
      <c r="C731" s="16"/>
      <c r="D731" s="16"/>
      <c r="E731" s="3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 x14ac:dyDescent="0.55000000000000004">
      <c r="A732" s="16"/>
      <c r="B732" s="16"/>
      <c r="C732" s="16"/>
      <c r="D732" s="16"/>
      <c r="E732" s="3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 x14ac:dyDescent="0.55000000000000004">
      <c r="A733" s="16"/>
      <c r="B733" s="16"/>
      <c r="C733" s="16"/>
      <c r="D733" s="16"/>
      <c r="E733" s="3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 x14ac:dyDescent="0.55000000000000004">
      <c r="A734" s="16"/>
      <c r="B734" s="16"/>
      <c r="C734" s="16"/>
      <c r="D734" s="16"/>
      <c r="E734" s="3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 x14ac:dyDescent="0.55000000000000004">
      <c r="A735" s="16"/>
      <c r="B735" s="16"/>
      <c r="C735" s="16"/>
      <c r="D735" s="16"/>
      <c r="E735" s="3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 x14ac:dyDescent="0.55000000000000004">
      <c r="A736" s="16"/>
      <c r="B736" s="16"/>
      <c r="C736" s="16"/>
      <c r="D736" s="16"/>
      <c r="E736" s="3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 x14ac:dyDescent="0.55000000000000004">
      <c r="A737" s="16"/>
      <c r="B737" s="16"/>
      <c r="C737" s="16"/>
      <c r="D737" s="16"/>
      <c r="E737" s="3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 x14ac:dyDescent="0.55000000000000004">
      <c r="A738" s="16"/>
      <c r="B738" s="16"/>
      <c r="C738" s="16"/>
      <c r="D738" s="16"/>
      <c r="E738" s="3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 x14ac:dyDescent="0.55000000000000004">
      <c r="A739" s="16"/>
      <c r="B739" s="16"/>
      <c r="C739" s="16"/>
      <c r="D739" s="16"/>
      <c r="E739" s="3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 x14ac:dyDescent="0.55000000000000004">
      <c r="A740" s="16"/>
      <c r="B740" s="16"/>
      <c r="C740" s="16"/>
      <c r="D740" s="16"/>
      <c r="E740" s="3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 x14ac:dyDescent="0.55000000000000004">
      <c r="A741" s="16"/>
      <c r="B741" s="16"/>
      <c r="C741" s="16"/>
      <c r="D741" s="16"/>
      <c r="E741" s="3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 x14ac:dyDescent="0.55000000000000004">
      <c r="A742" s="16"/>
      <c r="B742" s="16"/>
      <c r="C742" s="16"/>
      <c r="D742" s="16"/>
      <c r="E742" s="3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 x14ac:dyDescent="0.55000000000000004">
      <c r="A743" s="16"/>
      <c r="B743" s="16"/>
      <c r="C743" s="16"/>
      <c r="D743" s="16"/>
      <c r="E743" s="3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 x14ac:dyDescent="0.55000000000000004">
      <c r="A744" s="16"/>
      <c r="B744" s="16"/>
      <c r="C744" s="16"/>
      <c r="D744" s="16"/>
      <c r="E744" s="3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 x14ac:dyDescent="0.55000000000000004">
      <c r="A745" s="16"/>
      <c r="B745" s="16"/>
      <c r="C745" s="16"/>
      <c r="D745" s="16"/>
      <c r="E745" s="3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 x14ac:dyDescent="0.55000000000000004">
      <c r="A746" s="16"/>
      <c r="B746" s="16"/>
      <c r="C746" s="16"/>
      <c r="D746" s="16"/>
      <c r="E746" s="3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 x14ac:dyDescent="0.55000000000000004">
      <c r="A747" s="16"/>
      <c r="B747" s="16"/>
      <c r="C747" s="16"/>
      <c r="D747" s="16"/>
      <c r="E747" s="3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 x14ac:dyDescent="0.55000000000000004">
      <c r="A748" s="16"/>
      <c r="B748" s="16"/>
      <c r="C748" s="16"/>
      <c r="D748" s="16"/>
      <c r="E748" s="3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 x14ac:dyDescent="0.55000000000000004">
      <c r="A749" s="16"/>
      <c r="B749" s="16"/>
      <c r="C749" s="16"/>
      <c r="D749" s="16"/>
      <c r="E749" s="3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 x14ac:dyDescent="0.55000000000000004">
      <c r="A750" s="16"/>
      <c r="B750" s="16"/>
      <c r="C750" s="16"/>
      <c r="D750" s="16"/>
      <c r="E750" s="3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 x14ac:dyDescent="0.55000000000000004">
      <c r="A751" s="16"/>
      <c r="B751" s="16"/>
      <c r="C751" s="16"/>
      <c r="D751" s="16"/>
      <c r="E751" s="3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 x14ac:dyDescent="0.55000000000000004">
      <c r="A752" s="16"/>
      <c r="B752" s="16"/>
      <c r="C752" s="16"/>
      <c r="D752" s="16"/>
      <c r="E752" s="3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 x14ac:dyDescent="0.55000000000000004">
      <c r="A753" s="16"/>
      <c r="B753" s="16"/>
      <c r="C753" s="16"/>
      <c r="D753" s="16"/>
      <c r="E753" s="3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 x14ac:dyDescent="0.55000000000000004">
      <c r="A754" s="16"/>
      <c r="B754" s="16"/>
      <c r="C754" s="16"/>
      <c r="D754" s="16"/>
      <c r="E754" s="3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 x14ac:dyDescent="0.55000000000000004">
      <c r="A755" s="16"/>
      <c r="B755" s="16"/>
      <c r="C755" s="16"/>
      <c r="D755" s="16"/>
      <c r="E755" s="3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 x14ac:dyDescent="0.55000000000000004">
      <c r="A756" s="16"/>
      <c r="B756" s="16"/>
      <c r="C756" s="16"/>
      <c r="D756" s="16"/>
      <c r="E756" s="3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 x14ac:dyDescent="0.55000000000000004">
      <c r="A757" s="16"/>
      <c r="B757" s="16"/>
      <c r="C757" s="16"/>
      <c r="D757" s="16"/>
      <c r="E757" s="3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 x14ac:dyDescent="0.55000000000000004">
      <c r="A758" s="16"/>
      <c r="B758" s="16"/>
      <c r="C758" s="16"/>
      <c r="D758" s="16"/>
      <c r="E758" s="3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 x14ac:dyDescent="0.55000000000000004">
      <c r="A759" s="16"/>
      <c r="B759" s="16"/>
      <c r="C759" s="16"/>
      <c r="D759" s="16"/>
      <c r="E759" s="3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 x14ac:dyDescent="0.55000000000000004">
      <c r="A760" s="16"/>
      <c r="B760" s="16"/>
      <c r="C760" s="16"/>
      <c r="D760" s="16"/>
      <c r="E760" s="3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 x14ac:dyDescent="0.55000000000000004">
      <c r="A761" s="16"/>
      <c r="B761" s="16"/>
      <c r="C761" s="16"/>
      <c r="D761" s="16"/>
      <c r="E761" s="3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 x14ac:dyDescent="0.55000000000000004">
      <c r="A762" s="16"/>
      <c r="B762" s="16"/>
      <c r="C762" s="16"/>
      <c r="D762" s="16"/>
      <c r="E762" s="3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 x14ac:dyDescent="0.55000000000000004">
      <c r="A763" s="16"/>
      <c r="B763" s="16"/>
      <c r="C763" s="16"/>
      <c r="D763" s="16"/>
      <c r="E763" s="3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 x14ac:dyDescent="0.55000000000000004">
      <c r="A764" s="16"/>
      <c r="B764" s="16"/>
      <c r="C764" s="16"/>
      <c r="D764" s="16"/>
      <c r="E764" s="3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 x14ac:dyDescent="0.55000000000000004">
      <c r="A765" s="16"/>
      <c r="B765" s="16"/>
      <c r="C765" s="16"/>
      <c r="D765" s="16"/>
      <c r="E765" s="3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 x14ac:dyDescent="0.55000000000000004">
      <c r="A766" s="16"/>
      <c r="B766" s="16"/>
      <c r="C766" s="16"/>
      <c r="D766" s="16"/>
      <c r="E766" s="3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 x14ac:dyDescent="0.55000000000000004">
      <c r="A767" s="16"/>
      <c r="B767" s="16"/>
      <c r="C767" s="16"/>
      <c r="D767" s="16"/>
      <c r="E767" s="3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 x14ac:dyDescent="0.55000000000000004">
      <c r="A768" s="16"/>
      <c r="B768" s="16"/>
      <c r="C768" s="16"/>
      <c r="D768" s="16"/>
      <c r="E768" s="3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 x14ac:dyDescent="0.55000000000000004">
      <c r="A769" s="16"/>
      <c r="B769" s="16"/>
      <c r="C769" s="16"/>
      <c r="D769" s="16"/>
      <c r="E769" s="3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 x14ac:dyDescent="0.55000000000000004">
      <c r="A770" s="16"/>
      <c r="B770" s="16"/>
      <c r="C770" s="16"/>
      <c r="D770" s="16"/>
      <c r="E770" s="3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 x14ac:dyDescent="0.55000000000000004">
      <c r="A771" s="16"/>
      <c r="B771" s="16"/>
      <c r="C771" s="16"/>
      <c r="D771" s="16"/>
      <c r="E771" s="3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 x14ac:dyDescent="0.55000000000000004">
      <c r="A772" s="16"/>
      <c r="B772" s="16"/>
      <c r="C772" s="16"/>
      <c r="D772" s="16"/>
      <c r="E772" s="3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 x14ac:dyDescent="0.55000000000000004">
      <c r="A773" s="16"/>
      <c r="B773" s="16"/>
      <c r="C773" s="16"/>
      <c r="D773" s="16"/>
      <c r="E773" s="3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 x14ac:dyDescent="0.55000000000000004">
      <c r="A774" s="16"/>
      <c r="B774" s="16"/>
      <c r="C774" s="16"/>
      <c r="D774" s="16"/>
      <c r="E774" s="3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 x14ac:dyDescent="0.55000000000000004">
      <c r="A775" s="16"/>
      <c r="B775" s="16"/>
      <c r="C775" s="16"/>
      <c r="D775" s="16"/>
      <c r="E775" s="3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 x14ac:dyDescent="0.55000000000000004">
      <c r="A776" s="16"/>
      <c r="B776" s="16"/>
      <c r="C776" s="16"/>
      <c r="D776" s="16"/>
      <c r="E776" s="3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 x14ac:dyDescent="0.55000000000000004">
      <c r="A777" s="16"/>
      <c r="B777" s="16"/>
      <c r="C777" s="16"/>
      <c r="D777" s="16"/>
      <c r="E777" s="3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 x14ac:dyDescent="0.55000000000000004">
      <c r="A778" s="16"/>
      <c r="B778" s="16"/>
      <c r="C778" s="16"/>
      <c r="D778" s="16"/>
      <c r="E778" s="3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 x14ac:dyDescent="0.55000000000000004">
      <c r="A779" s="16"/>
      <c r="B779" s="16"/>
      <c r="C779" s="16"/>
      <c r="D779" s="16"/>
      <c r="E779" s="3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 x14ac:dyDescent="0.55000000000000004">
      <c r="A780" s="16"/>
      <c r="B780" s="16"/>
      <c r="C780" s="16"/>
      <c r="D780" s="16"/>
      <c r="E780" s="3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 x14ac:dyDescent="0.55000000000000004">
      <c r="A781" s="16"/>
      <c r="B781" s="16"/>
      <c r="C781" s="16"/>
      <c r="D781" s="16"/>
      <c r="E781" s="3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 x14ac:dyDescent="0.55000000000000004">
      <c r="A782" s="16"/>
      <c r="B782" s="16"/>
      <c r="C782" s="16"/>
      <c r="D782" s="16"/>
      <c r="E782" s="3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 x14ac:dyDescent="0.55000000000000004">
      <c r="A783" s="16"/>
      <c r="B783" s="16"/>
      <c r="C783" s="16"/>
      <c r="D783" s="16"/>
      <c r="E783" s="3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 x14ac:dyDescent="0.55000000000000004">
      <c r="A784" s="16"/>
      <c r="B784" s="16"/>
      <c r="C784" s="16"/>
      <c r="D784" s="16"/>
      <c r="E784" s="3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 x14ac:dyDescent="0.55000000000000004">
      <c r="A785" s="16"/>
      <c r="B785" s="16"/>
      <c r="C785" s="16"/>
      <c r="D785" s="16"/>
      <c r="E785" s="3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 x14ac:dyDescent="0.55000000000000004">
      <c r="A786" s="16"/>
      <c r="B786" s="16"/>
      <c r="C786" s="16"/>
      <c r="D786" s="16"/>
      <c r="E786" s="3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 x14ac:dyDescent="0.55000000000000004">
      <c r="A787" s="16"/>
      <c r="B787" s="16"/>
      <c r="C787" s="16"/>
      <c r="D787" s="16"/>
      <c r="E787" s="3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 x14ac:dyDescent="0.55000000000000004">
      <c r="A788" s="16"/>
      <c r="B788" s="16"/>
      <c r="C788" s="16"/>
      <c r="D788" s="16"/>
      <c r="E788" s="3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 x14ac:dyDescent="0.55000000000000004">
      <c r="A789" s="16"/>
      <c r="B789" s="16"/>
      <c r="C789" s="16"/>
      <c r="D789" s="16"/>
      <c r="E789" s="3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 x14ac:dyDescent="0.55000000000000004">
      <c r="A790" s="16"/>
      <c r="B790" s="16"/>
      <c r="C790" s="16"/>
      <c r="D790" s="16"/>
      <c r="E790" s="3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 x14ac:dyDescent="0.55000000000000004">
      <c r="A791" s="16"/>
      <c r="B791" s="16"/>
      <c r="C791" s="16"/>
      <c r="D791" s="16"/>
      <c r="E791" s="3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 x14ac:dyDescent="0.55000000000000004">
      <c r="A792" s="16"/>
      <c r="B792" s="16"/>
      <c r="C792" s="16"/>
      <c r="D792" s="16"/>
      <c r="E792" s="3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 x14ac:dyDescent="0.55000000000000004">
      <c r="A793" s="16"/>
      <c r="B793" s="16"/>
      <c r="C793" s="16"/>
      <c r="D793" s="16"/>
      <c r="E793" s="3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 x14ac:dyDescent="0.55000000000000004">
      <c r="A794" s="16"/>
      <c r="B794" s="16"/>
      <c r="C794" s="16"/>
      <c r="D794" s="16"/>
      <c r="E794" s="3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 x14ac:dyDescent="0.55000000000000004">
      <c r="A795" s="16"/>
      <c r="B795" s="16"/>
      <c r="C795" s="16"/>
      <c r="D795" s="16"/>
      <c r="E795" s="3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 x14ac:dyDescent="0.55000000000000004">
      <c r="A796" s="16"/>
      <c r="B796" s="16"/>
      <c r="C796" s="16"/>
      <c r="D796" s="16"/>
      <c r="E796" s="3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 x14ac:dyDescent="0.55000000000000004">
      <c r="A797" s="16"/>
      <c r="B797" s="16"/>
      <c r="C797" s="16"/>
      <c r="D797" s="16"/>
      <c r="E797" s="3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 x14ac:dyDescent="0.55000000000000004">
      <c r="A798" s="16"/>
      <c r="B798" s="16"/>
      <c r="C798" s="16"/>
      <c r="D798" s="16"/>
      <c r="E798" s="3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 x14ac:dyDescent="0.55000000000000004">
      <c r="A799" s="16"/>
      <c r="B799" s="16"/>
      <c r="C799" s="16"/>
      <c r="D799" s="16"/>
      <c r="E799" s="3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 x14ac:dyDescent="0.55000000000000004">
      <c r="A800" s="16"/>
      <c r="B800" s="16"/>
      <c r="C800" s="16"/>
      <c r="D800" s="16"/>
      <c r="E800" s="3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 x14ac:dyDescent="0.55000000000000004">
      <c r="A801" s="16"/>
      <c r="B801" s="16"/>
      <c r="C801" s="16"/>
      <c r="D801" s="16"/>
      <c r="E801" s="3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 x14ac:dyDescent="0.55000000000000004">
      <c r="A802" s="16"/>
      <c r="B802" s="16"/>
      <c r="C802" s="16"/>
      <c r="D802" s="16"/>
      <c r="E802" s="3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 x14ac:dyDescent="0.55000000000000004">
      <c r="A803" s="16"/>
      <c r="B803" s="16"/>
      <c r="C803" s="16"/>
      <c r="D803" s="16"/>
      <c r="E803" s="3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 x14ac:dyDescent="0.55000000000000004">
      <c r="A804" s="16"/>
      <c r="B804" s="16"/>
      <c r="C804" s="16"/>
      <c r="D804" s="16"/>
      <c r="E804" s="3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 x14ac:dyDescent="0.55000000000000004">
      <c r="A805" s="16"/>
      <c r="B805" s="16"/>
      <c r="C805" s="16"/>
      <c r="D805" s="16"/>
      <c r="E805" s="3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 x14ac:dyDescent="0.55000000000000004">
      <c r="A806" s="16"/>
      <c r="B806" s="16"/>
      <c r="C806" s="16"/>
      <c r="D806" s="16"/>
      <c r="E806" s="3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 x14ac:dyDescent="0.55000000000000004">
      <c r="A807" s="16"/>
      <c r="B807" s="16"/>
      <c r="C807" s="16"/>
      <c r="D807" s="16"/>
      <c r="E807" s="3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 x14ac:dyDescent="0.55000000000000004">
      <c r="A808" s="16"/>
      <c r="B808" s="16"/>
      <c r="C808" s="16"/>
      <c r="D808" s="16"/>
      <c r="E808" s="3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 x14ac:dyDescent="0.55000000000000004">
      <c r="A809" s="16"/>
      <c r="B809" s="16"/>
      <c r="C809" s="16"/>
      <c r="D809" s="16"/>
      <c r="E809" s="3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 x14ac:dyDescent="0.55000000000000004">
      <c r="A810" s="16"/>
      <c r="B810" s="16"/>
      <c r="C810" s="16"/>
      <c r="D810" s="16"/>
      <c r="E810" s="3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 x14ac:dyDescent="0.55000000000000004">
      <c r="A811" s="16"/>
      <c r="B811" s="16"/>
      <c r="C811" s="16"/>
      <c r="D811" s="16"/>
      <c r="E811" s="3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 x14ac:dyDescent="0.55000000000000004">
      <c r="A812" s="16"/>
      <c r="B812" s="16"/>
      <c r="C812" s="16"/>
      <c r="D812" s="16"/>
      <c r="E812" s="3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 x14ac:dyDescent="0.55000000000000004">
      <c r="A813" s="16"/>
      <c r="B813" s="16"/>
      <c r="C813" s="16"/>
      <c r="D813" s="16"/>
      <c r="E813" s="3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 x14ac:dyDescent="0.55000000000000004">
      <c r="A814" s="16"/>
      <c r="B814" s="16"/>
      <c r="C814" s="16"/>
      <c r="D814" s="16"/>
      <c r="E814" s="3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 x14ac:dyDescent="0.55000000000000004">
      <c r="A815" s="16"/>
      <c r="B815" s="16"/>
      <c r="C815" s="16"/>
      <c r="D815" s="16"/>
      <c r="E815" s="3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 x14ac:dyDescent="0.55000000000000004">
      <c r="A816" s="16"/>
      <c r="B816" s="16"/>
      <c r="C816" s="16"/>
      <c r="D816" s="16"/>
      <c r="E816" s="3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 x14ac:dyDescent="0.55000000000000004">
      <c r="A817" s="16"/>
      <c r="B817" s="16"/>
      <c r="C817" s="16"/>
      <c r="D817" s="16"/>
      <c r="E817" s="3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 x14ac:dyDescent="0.55000000000000004">
      <c r="A818" s="16"/>
      <c r="B818" s="16"/>
      <c r="C818" s="16"/>
      <c r="D818" s="16"/>
      <c r="E818" s="3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 x14ac:dyDescent="0.55000000000000004">
      <c r="A819" s="16"/>
      <c r="B819" s="16"/>
      <c r="C819" s="16"/>
      <c r="D819" s="16"/>
      <c r="E819" s="3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 x14ac:dyDescent="0.55000000000000004">
      <c r="A820" s="16"/>
      <c r="B820" s="16"/>
      <c r="C820" s="16"/>
      <c r="D820" s="16"/>
      <c r="E820" s="3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 x14ac:dyDescent="0.55000000000000004">
      <c r="A821" s="16"/>
      <c r="B821" s="16"/>
      <c r="C821" s="16"/>
      <c r="D821" s="16"/>
      <c r="E821" s="3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 x14ac:dyDescent="0.55000000000000004">
      <c r="A822" s="16"/>
      <c r="B822" s="16"/>
      <c r="C822" s="16"/>
      <c r="D822" s="16"/>
      <c r="E822" s="3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 x14ac:dyDescent="0.55000000000000004">
      <c r="A823" s="16"/>
      <c r="B823" s="16"/>
      <c r="C823" s="16"/>
      <c r="D823" s="16"/>
      <c r="E823" s="3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 x14ac:dyDescent="0.55000000000000004">
      <c r="A824" s="16"/>
      <c r="B824" s="16"/>
      <c r="C824" s="16"/>
      <c r="D824" s="16"/>
      <c r="E824" s="3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 x14ac:dyDescent="0.55000000000000004">
      <c r="A825" s="16"/>
      <c r="B825" s="16"/>
      <c r="C825" s="16"/>
      <c r="D825" s="16"/>
      <c r="E825" s="3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 x14ac:dyDescent="0.55000000000000004">
      <c r="A826" s="16"/>
      <c r="B826" s="16"/>
      <c r="C826" s="16"/>
      <c r="D826" s="16"/>
      <c r="E826" s="3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 x14ac:dyDescent="0.55000000000000004">
      <c r="A827" s="16"/>
      <c r="B827" s="16"/>
      <c r="C827" s="16"/>
      <c r="D827" s="16"/>
      <c r="E827" s="3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 x14ac:dyDescent="0.55000000000000004">
      <c r="A828" s="16"/>
      <c r="B828" s="16"/>
      <c r="C828" s="16"/>
      <c r="D828" s="16"/>
      <c r="E828" s="3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 x14ac:dyDescent="0.55000000000000004">
      <c r="A829" s="16"/>
      <c r="B829" s="16"/>
      <c r="C829" s="16"/>
      <c r="D829" s="16"/>
      <c r="E829" s="3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 x14ac:dyDescent="0.55000000000000004">
      <c r="A830" s="16"/>
      <c r="B830" s="16"/>
      <c r="C830" s="16"/>
      <c r="D830" s="16"/>
      <c r="E830" s="3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 x14ac:dyDescent="0.55000000000000004">
      <c r="A831" s="16"/>
      <c r="B831" s="16"/>
      <c r="C831" s="16"/>
      <c r="D831" s="16"/>
      <c r="E831" s="3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 x14ac:dyDescent="0.55000000000000004">
      <c r="A832" s="16"/>
      <c r="B832" s="16"/>
      <c r="C832" s="16"/>
      <c r="D832" s="16"/>
      <c r="E832" s="3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 x14ac:dyDescent="0.55000000000000004">
      <c r="A833" s="16"/>
      <c r="B833" s="16"/>
      <c r="C833" s="16"/>
      <c r="D833" s="16"/>
      <c r="E833" s="3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 x14ac:dyDescent="0.55000000000000004">
      <c r="A834" s="16"/>
      <c r="B834" s="16"/>
      <c r="C834" s="16"/>
      <c r="D834" s="16"/>
      <c r="E834" s="3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 x14ac:dyDescent="0.55000000000000004">
      <c r="A835" s="16"/>
      <c r="B835" s="16"/>
      <c r="C835" s="16"/>
      <c r="D835" s="16"/>
      <c r="E835" s="3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 x14ac:dyDescent="0.55000000000000004">
      <c r="A836" s="16"/>
      <c r="B836" s="16"/>
      <c r="C836" s="16"/>
      <c r="D836" s="16"/>
      <c r="E836" s="3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 x14ac:dyDescent="0.55000000000000004">
      <c r="A837" s="16"/>
      <c r="B837" s="16"/>
      <c r="C837" s="16"/>
      <c r="D837" s="16"/>
      <c r="E837" s="3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 x14ac:dyDescent="0.55000000000000004">
      <c r="A838" s="16"/>
      <c r="B838" s="16"/>
      <c r="C838" s="16"/>
      <c r="D838" s="16"/>
      <c r="E838" s="3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 x14ac:dyDescent="0.55000000000000004">
      <c r="A839" s="16"/>
      <c r="B839" s="16"/>
      <c r="C839" s="16"/>
      <c r="D839" s="16"/>
      <c r="E839" s="3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 x14ac:dyDescent="0.55000000000000004">
      <c r="A840" s="16"/>
      <c r="B840" s="16"/>
      <c r="C840" s="16"/>
      <c r="D840" s="16"/>
      <c r="E840" s="3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 x14ac:dyDescent="0.55000000000000004">
      <c r="A841" s="16"/>
      <c r="B841" s="16"/>
      <c r="C841" s="16"/>
      <c r="D841" s="16"/>
      <c r="E841" s="3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 x14ac:dyDescent="0.55000000000000004">
      <c r="A842" s="16"/>
      <c r="B842" s="16"/>
      <c r="C842" s="16"/>
      <c r="D842" s="16"/>
      <c r="E842" s="3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 x14ac:dyDescent="0.55000000000000004">
      <c r="A843" s="16"/>
      <c r="B843" s="16"/>
      <c r="C843" s="16"/>
      <c r="D843" s="16"/>
      <c r="E843" s="3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 x14ac:dyDescent="0.55000000000000004">
      <c r="A844" s="16"/>
      <c r="B844" s="16"/>
      <c r="C844" s="16"/>
      <c r="D844" s="16"/>
      <c r="E844" s="3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 x14ac:dyDescent="0.55000000000000004">
      <c r="A845" s="16"/>
      <c r="B845" s="16"/>
      <c r="C845" s="16"/>
      <c r="D845" s="16"/>
      <c r="E845" s="3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 x14ac:dyDescent="0.55000000000000004">
      <c r="A846" s="16"/>
      <c r="B846" s="16"/>
      <c r="C846" s="16"/>
      <c r="D846" s="16"/>
      <c r="E846" s="3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 x14ac:dyDescent="0.55000000000000004">
      <c r="A847" s="16"/>
      <c r="B847" s="16"/>
      <c r="C847" s="16"/>
      <c r="D847" s="16"/>
      <c r="E847" s="3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 x14ac:dyDescent="0.55000000000000004">
      <c r="A848" s="16"/>
      <c r="B848" s="16"/>
      <c r="C848" s="16"/>
      <c r="D848" s="16"/>
      <c r="E848" s="3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 x14ac:dyDescent="0.55000000000000004">
      <c r="A849" s="16"/>
      <c r="B849" s="16"/>
      <c r="C849" s="16"/>
      <c r="D849" s="16"/>
      <c r="E849" s="3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 x14ac:dyDescent="0.55000000000000004">
      <c r="A850" s="16"/>
      <c r="B850" s="16"/>
      <c r="C850" s="16"/>
      <c r="D850" s="16"/>
      <c r="E850" s="3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 x14ac:dyDescent="0.55000000000000004">
      <c r="A851" s="16"/>
      <c r="B851" s="16"/>
      <c r="C851" s="16"/>
      <c r="D851" s="16"/>
      <c r="E851" s="3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 x14ac:dyDescent="0.55000000000000004">
      <c r="A852" s="16"/>
      <c r="B852" s="16"/>
      <c r="C852" s="16"/>
      <c r="D852" s="16"/>
      <c r="E852" s="3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 x14ac:dyDescent="0.55000000000000004">
      <c r="A853" s="16"/>
      <c r="B853" s="16"/>
      <c r="C853" s="16"/>
      <c r="D853" s="16"/>
      <c r="E853" s="3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 x14ac:dyDescent="0.55000000000000004">
      <c r="A854" s="16"/>
      <c r="B854" s="16"/>
      <c r="C854" s="16"/>
      <c r="D854" s="16"/>
      <c r="E854" s="3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 x14ac:dyDescent="0.55000000000000004">
      <c r="A855" s="16"/>
      <c r="B855" s="16"/>
      <c r="C855" s="16"/>
      <c r="D855" s="16"/>
      <c r="E855" s="3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 x14ac:dyDescent="0.55000000000000004">
      <c r="A856" s="16"/>
      <c r="B856" s="16"/>
      <c r="C856" s="16"/>
      <c r="D856" s="16"/>
      <c r="E856" s="3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 x14ac:dyDescent="0.55000000000000004">
      <c r="A857" s="16"/>
      <c r="B857" s="16"/>
      <c r="C857" s="16"/>
      <c r="D857" s="16"/>
      <c r="E857" s="3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 x14ac:dyDescent="0.55000000000000004">
      <c r="A858" s="16"/>
      <c r="B858" s="16"/>
      <c r="C858" s="16"/>
      <c r="D858" s="16"/>
      <c r="E858" s="3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 x14ac:dyDescent="0.55000000000000004">
      <c r="A859" s="16"/>
      <c r="B859" s="16"/>
      <c r="C859" s="16"/>
      <c r="D859" s="16"/>
      <c r="E859" s="3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 x14ac:dyDescent="0.55000000000000004">
      <c r="A860" s="16"/>
      <c r="B860" s="16"/>
      <c r="C860" s="16"/>
      <c r="D860" s="16"/>
      <c r="E860" s="3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 x14ac:dyDescent="0.55000000000000004">
      <c r="A861" s="16"/>
      <c r="B861" s="16"/>
      <c r="C861" s="16"/>
      <c r="D861" s="16"/>
      <c r="E861" s="3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 x14ac:dyDescent="0.55000000000000004">
      <c r="A862" s="16"/>
      <c r="B862" s="16"/>
      <c r="C862" s="16"/>
      <c r="D862" s="16"/>
      <c r="E862" s="3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 x14ac:dyDescent="0.55000000000000004">
      <c r="A863" s="16"/>
      <c r="B863" s="16"/>
      <c r="C863" s="16"/>
      <c r="D863" s="16"/>
      <c r="E863" s="3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 x14ac:dyDescent="0.55000000000000004">
      <c r="A864" s="16"/>
      <c r="B864" s="16"/>
      <c r="C864" s="16"/>
      <c r="D864" s="16"/>
      <c r="E864" s="3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 x14ac:dyDescent="0.55000000000000004">
      <c r="A865" s="16"/>
      <c r="B865" s="16"/>
      <c r="C865" s="16"/>
      <c r="D865" s="16"/>
      <c r="E865" s="3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 x14ac:dyDescent="0.55000000000000004">
      <c r="A866" s="16"/>
      <c r="B866" s="16"/>
      <c r="C866" s="16"/>
      <c r="D866" s="16"/>
      <c r="E866" s="3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 x14ac:dyDescent="0.55000000000000004">
      <c r="A867" s="16"/>
      <c r="B867" s="16"/>
      <c r="C867" s="16"/>
      <c r="D867" s="16"/>
      <c r="E867" s="3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 x14ac:dyDescent="0.55000000000000004">
      <c r="A868" s="16"/>
      <c r="B868" s="16"/>
      <c r="C868" s="16"/>
      <c r="D868" s="16"/>
      <c r="E868" s="3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 x14ac:dyDescent="0.55000000000000004">
      <c r="A869" s="16"/>
      <c r="B869" s="16"/>
      <c r="C869" s="16"/>
      <c r="D869" s="16"/>
      <c r="E869" s="3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 x14ac:dyDescent="0.55000000000000004">
      <c r="A870" s="16"/>
      <c r="B870" s="16"/>
      <c r="C870" s="16"/>
      <c r="D870" s="16"/>
      <c r="E870" s="3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 x14ac:dyDescent="0.55000000000000004">
      <c r="A871" s="16"/>
      <c r="B871" s="16"/>
      <c r="C871" s="16"/>
      <c r="D871" s="16"/>
      <c r="E871" s="3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 x14ac:dyDescent="0.55000000000000004">
      <c r="A872" s="16"/>
      <c r="B872" s="16"/>
      <c r="C872" s="16"/>
      <c r="D872" s="16"/>
      <c r="E872" s="3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 x14ac:dyDescent="0.55000000000000004">
      <c r="A873" s="16"/>
      <c r="B873" s="16"/>
      <c r="C873" s="16"/>
      <c r="D873" s="16"/>
      <c r="E873" s="3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 x14ac:dyDescent="0.55000000000000004">
      <c r="A874" s="16"/>
      <c r="B874" s="16"/>
      <c r="C874" s="16"/>
      <c r="D874" s="16"/>
      <c r="E874" s="3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 x14ac:dyDescent="0.55000000000000004">
      <c r="A875" s="16"/>
      <c r="B875" s="16"/>
      <c r="C875" s="16"/>
      <c r="D875" s="16"/>
      <c r="E875" s="3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 x14ac:dyDescent="0.55000000000000004">
      <c r="A876" s="16"/>
      <c r="B876" s="16"/>
      <c r="C876" s="16"/>
      <c r="D876" s="16"/>
      <c r="E876" s="3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 x14ac:dyDescent="0.55000000000000004">
      <c r="A877" s="16"/>
      <c r="B877" s="16"/>
      <c r="C877" s="16"/>
      <c r="D877" s="16"/>
      <c r="E877" s="3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 x14ac:dyDescent="0.55000000000000004">
      <c r="A878" s="16"/>
      <c r="B878" s="16"/>
      <c r="C878" s="16"/>
      <c r="D878" s="16"/>
      <c r="E878" s="3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 x14ac:dyDescent="0.55000000000000004">
      <c r="A879" s="16"/>
      <c r="B879" s="16"/>
      <c r="C879" s="16"/>
      <c r="D879" s="16"/>
      <c r="E879" s="3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 x14ac:dyDescent="0.55000000000000004">
      <c r="A880" s="16"/>
      <c r="B880" s="16"/>
      <c r="C880" s="16"/>
      <c r="D880" s="16"/>
      <c r="E880" s="3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 x14ac:dyDescent="0.55000000000000004">
      <c r="A881" s="16"/>
      <c r="B881" s="16"/>
      <c r="C881" s="16"/>
      <c r="D881" s="16"/>
      <c r="E881" s="3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 x14ac:dyDescent="0.55000000000000004">
      <c r="A882" s="16"/>
      <c r="B882" s="16"/>
      <c r="C882" s="16"/>
      <c r="D882" s="16"/>
      <c r="E882" s="3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 x14ac:dyDescent="0.55000000000000004">
      <c r="A883" s="16"/>
      <c r="B883" s="16"/>
      <c r="C883" s="16"/>
      <c r="D883" s="16"/>
      <c r="E883" s="3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 x14ac:dyDescent="0.55000000000000004">
      <c r="A884" s="16"/>
      <c r="B884" s="16"/>
      <c r="C884" s="16"/>
      <c r="D884" s="16"/>
      <c r="E884" s="3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 x14ac:dyDescent="0.55000000000000004">
      <c r="A885" s="16"/>
      <c r="B885" s="16"/>
      <c r="C885" s="16"/>
      <c r="D885" s="16"/>
      <c r="E885" s="3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 x14ac:dyDescent="0.55000000000000004">
      <c r="A886" s="16"/>
      <c r="B886" s="16"/>
      <c r="C886" s="16"/>
      <c r="D886" s="16"/>
      <c r="E886" s="3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 x14ac:dyDescent="0.55000000000000004">
      <c r="A887" s="16"/>
      <c r="B887" s="16"/>
      <c r="C887" s="16"/>
      <c r="D887" s="16"/>
      <c r="E887" s="3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 x14ac:dyDescent="0.55000000000000004">
      <c r="A888" s="16"/>
      <c r="B888" s="16"/>
      <c r="C888" s="16"/>
      <c r="D888" s="16"/>
      <c r="E888" s="3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 x14ac:dyDescent="0.55000000000000004">
      <c r="A889" s="16"/>
      <c r="B889" s="16"/>
      <c r="C889" s="16"/>
      <c r="D889" s="16"/>
      <c r="E889" s="3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 x14ac:dyDescent="0.55000000000000004">
      <c r="A890" s="16"/>
      <c r="B890" s="16"/>
      <c r="C890" s="16"/>
      <c r="D890" s="16"/>
      <c r="E890" s="3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 x14ac:dyDescent="0.55000000000000004">
      <c r="A891" s="16"/>
      <c r="B891" s="16"/>
      <c r="C891" s="16"/>
      <c r="D891" s="16"/>
      <c r="E891" s="3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 x14ac:dyDescent="0.55000000000000004">
      <c r="A892" s="16"/>
      <c r="B892" s="16"/>
      <c r="C892" s="16"/>
      <c r="D892" s="16"/>
      <c r="E892" s="3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 x14ac:dyDescent="0.55000000000000004">
      <c r="A893" s="16"/>
      <c r="B893" s="16"/>
      <c r="C893" s="16"/>
      <c r="D893" s="16"/>
      <c r="E893" s="3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 x14ac:dyDescent="0.55000000000000004">
      <c r="A894" s="16"/>
      <c r="B894" s="16"/>
      <c r="C894" s="16"/>
      <c r="D894" s="16"/>
      <c r="E894" s="3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 x14ac:dyDescent="0.55000000000000004">
      <c r="A895" s="16"/>
      <c r="B895" s="16"/>
      <c r="C895" s="16"/>
      <c r="D895" s="16"/>
      <c r="E895" s="3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 x14ac:dyDescent="0.55000000000000004">
      <c r="A896" s="16"/>
      <c r="B896" s="16"/>
      <c r="C896" s="16"/>
      <c r="D896" s="16"/>
      <c r="E896" s="3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 x14ac:dyDescent="0.55000000000000004">
      <c r="A897" s="16"/>
      <c r="B897" s="16"/>
      <c r="C897" s="16"/>
      <c r="D897" s="16"/>
      <c r="E897" s="3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 x14ac:dyDescent="0.55000000000000004">
      <c r="A898" s="16"/>
      <c r="B898" s="16"/>
      <c r="C898" s="16"/>
      <c r="D898" s="16"/>
      <c r="E898" s="3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 x14ac:dyDescent="0.55000000000000004">
      <c r="A899" s="16"/>
      <c r="B899" s="16"/>
      <c r="C899" s="16"/>
      <c r="D899" s="16"/>
      <c r="E899" s="3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 x14ac:dyDescent="0.55000000000000004">
      <c r="A900" s="16"/>
      <c r="B900" s="16"/>
      <c r="C900" s="16"/>
      <c r="D900" s="16"/>
      <c r="E900" s="3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 x14ac:dyDescent="0.55000000000000004">
      <c r="A901" s="16"/>
      <c r="B901" s="16"/>
      <c r="C901" s="16"/>
      <c r="D901" s="16"/>
      <c r="E901" s="3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 x14ac:dyDescent="0.55000000000000004">
      <c r="A902" s="16"/>
      <c r="B902" s="16"/>
      <c r="C902" s="16"/>
      <c r="D902" s="16"/>
      <c r="E902" s="3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 x14ac:dyDescent="0.55000000000000004">
      <c r="A903" s="16"/>
      <c r="B903" s="16"/>
      <c r="C903" s="16"/>
      <c r="D903" s="16"/>
      <c r="E903" s="3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 x14ac:dyDescent="0.55000000000000004">
      <c r="A904" s="16"/>
      <c r="B904" s="16"/>
      <c r="C904" s="16"/>
      <c r="D904" s="16"/>
      <c r="E904" s="3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 x14ac:dyDescent="0.55000000000000004">
      <c r="A905" s="16"/>
      <c r="B905" s="16"/>
      <c r="C905" s="16"/>
      <c r="D905" s="16"/>
      <c r="E905" s="3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 x14ac:dyDescent="0.55000000000000004">
      <c r="A906" s="16"/>
      <c r="B906" s="16"/>
      <c r="C906" s="16"/>
      <c r="D906" s="16"/>
      <c r="E906" s="3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 x14ac:dyDescent="0.55000000000000004">
      <c r="A907" s="16"/>
      <c r="B907" s="16"/>
      <c r="C907" s="16"/>
      <c r="D907" s="16"/>
      <c r="E907" s="3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 x14ac:dyDescent="0.55000000000000004">
      <c r="A908" s="16"/>
      <c r="B908" s="16"/>
      <c r="C908" s="16"/>
      <c r="D908" s="16"/>
      <c r="E908" s="3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 x14ac:dyDescent="0.55000000000000004">
      <c r="A909" s="16"/>
      <c r="B909" s="16"/>
      <c r="C909" s="16"/>
      <c r="D909" s="16"/>
      <c r="E909" s="3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 x14ac:dyDescent="0.55000000000000004">
      <c r="A910" s="16"/>
      <c r="B910" s="16"/>
      <c r="C910" s="16"/>
      <c r="D910" s="16"/>
      <c r="E910" s="3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 x14ac:dyDescent="0.55000000000000004">
      <c r="A911" s="16"/>
      <c r="B911" s="16"/>
      <c r="C911" s="16"/>
      <c r="D911" s="16"/>
      <c r="E911" s="3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 x14ac:dyDescent="0.55000000000000004">
      <c r="A912" s="16"/>
      <c r="B912" s="16"/>
      <c r="C912" s="16"/>
      <c r="D912" s="16"/>
      <c r="E912" s="3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 x14ac:dyDescent="0.55000000000000004">
      <c r="A913" s="16"/>
      <c r="B913" s="16"/>
      <c r="C913" s="16"/>
      <c r="D913" s="16"/>
      <c r="E913" s="3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 x14ac:dyDescent="0.55000000000000004">
      <c r="A914" s="16"/>
      <c r="B914" s="16"/>
      <c r="C914" s="16"/>
      <c r="D914" s="16"/>
      <c r="E914" s="3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 x14ac:dyDescent="0.55000000000000004">
      <c r="A915" s="16"/>
      <c r="B915" s="16"/>
      <c r="C915" s="16"/>
      <c r="D915" s="16"/>
      <c r="E915" s="3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 x14ac:dyDescent="0.55000000000000004">
      <c r="A916" s="16"/>
      <c r="B916" s="16"/>
      <c r="C916" s="16"/>
      <c r="D916" s="16"/>
      <c r="E916" s="3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 x14ac:dyDescent="0.55000000000000004">
      <c r="A917" s="16"/>
      <c r="B917" s="16"/>
      <c r="C917" s="16"/>
      <c r="D917" s="16"/>
      <c r="E917" s="3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 x14ac:dyDescent="0.55000000000000004">
      <c r="A918" s="16"/>
      <c r="B918" s="16"/>
      <c r="C918" s="16"/>
      <c r="D918" s="16"/>
      <c r="E918" s="3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 x14ac:dyDescent="0.55000000000000004">
      <c r="A919" s="16"/>
      <c r="B919" s="16"/>
      <c r="C919" s="16"/>
      <c r="D919" s="16"/>
      <c r="E919" s="3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 x14ac:dyDescent="0.55000000000000004">
      <c r="A920" s="16"/>
      <c r="B920" s="16"/>
      <c r="C920" s="16"/>
      <c r="D920" s="16"/>
      <c r="E920" s="3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 x14ac:dyDescent="0.55000000000000004">
      <c r="A921" s="16"/>
      <c r="B921" s="16"/>
      <c r="C921" s="16"/>
      <c r="D921" s="16"/>
      <c r="E921" s="3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 x14ac:dyDescent="0.55000000000000004">
      <c r="A922" s="16"/>
      <c r="B922" s="16"/>
      <c r="C922" s="16"/>
      <c r="D922" s="16"/>
      <c r="E922" s="3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 x14ac:dyDescent="0.55000000000000004">
      <c r="A923" s="16"/>
      <c r="B923" s="16"/>
      <c r="C923" s="16"/>
      <c r="D923" s="16"/>
      <c r="E923" s="3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 x14ac:dyDescent="0.55000000000000004">
      <c r="A924" s="16"/>
      <c r="B924" s="16"/>
      <c r="C924" s="16"/>
      <c r="D924" s="16"/>
      <c r="E924" s="3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 x14ac:dyDescent="0.55000000000000004">
      <c r="A925" s="16"/>
      <c r="B925" s="16"/>
      <c r="C925" s="16"/>
      <c r="D925" s="16"/>
      <c r="E925" s="3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 x14ac:dyDescent="0.55000000000000004">
      <c r="A926" s="16"/>
      <c r="B926" s="16"/>
      <c r="C926" s="16"/>
      <c r="D926" s="16"/>
      <c r="E926" s="3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 x14ac:dyDescent="0.55000000000000004">
      <c r="A927" s="16"/>
      <c r="B927" s="16"/>
      <c r="C927" s="16"/>
      <c r="D927" s="16"/>
      <c r="E927" s="3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 x14ac:dyDescent="0.55000000000000004">
      <c r="A928" s="16"/>
      <c r="B928" s="16"/>
      <c r="C928" s="16"/>
      <c r="D928" s="16"/>
      <c r="E928" s="3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 x14ac:dyDescent="0.55000000000000004">
      <c r="A929" s="16"/>
      <c r="B929" s="16"/>
      <c r="C929" s="16"/>
      <c r="D929" s="16"/>
      <c r="E929" s="3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 x14ac:dyDescent="0.55000000000000004">
      <c r="A930" s="16"/>
      <c r="B930" s="16"/>
      <c r="C930" s="16"/>
      <c r="D930" s="16"/>
      <c r="E930" s="3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 x14ac:dyDescent="0.55000000000000004">
      <c r="A931" s="16"/>
      <c r="B931" s="16"/>
      <c r="C931" s="16"/>
      <c r="D931" s="16"/>
      <c r="E931" s="3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 x14ac:dyDescent="0.55000000000000004">
      <c r="A932" s="16"/>
      <c r="B932" s="16"/>
      <c r="C932" s="16"/>
      <c r="D932" s="16"/>
      <c r="E932" s="3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 x14ac:dyDescent="0.55000000000000004">
      <c r="A933" s="16"/>
      <c r="B933" s="16"/>
      <c r="C933" s="16"/>
      <c r="D933" s="16"/>
      <c r="E933" s="3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 x14ac:dyDescent="0.55000000000000004">
      <c r="A934" s="16"/>
      <c r="B934" s="16"/>
      <c r="C934" s="16"/>
      <c r="D934" s="16"/>
      <c r="E934" s="3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 x14ac:dyDescent="0.55000000000000004">
      <c r="A935" s="16"/>
      <c r="B935" s="16"/>
      <c r="C935" s="16"/>
      <c r="D935" s="16"/>
      <c r="E935" s="3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 x14ac:dyDescent="0.55000000000000004">
      <c r="A936" s="16"/>
      <c r="B936" s="16"/>
      <c r="C936" s="16"/>
      <c r="D936" s="16"/>
      <c r="E936" s="3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 x14ac:dyDescent="0.55000000000000004">
      <c r="A937" s="16"/>
      <c r="B937" s="16"/>
      <c r="C937" s="16"/>
      <c r="D937" s="16"/>
      <c r="E937" s="3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 x14ac:dyDescent="0.55000000000000004">
      <c r="A938" s="16"/>
      <c r="B938" s="16"/>
      <c r="C938" s="16"/>
      <c r="D938" s="16"/>
      <c r="E938" s="3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 x14ac:dyDescent="0.55000000000000004">
      <c r="A939" s="16"/>
      <c r="B939" s="16"/>
      <c r="C939" s="16"/>
      <c r="D939" s="16"/>
      <c r="E939" s="3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 x14ac:dyDescent="0.55000000000000004">
      <c r="A940" s="16"/>
      <c r="B940" s="16"/>
      <c r="C940" s="16"/>
      <c r="D940" s="16"/>
      <c r="E940" s="3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 x14ac:dyDescent="0.55000000000000004">
      <c r="A941" s="16"/>
      <c r="B941" s="16"/>
      <c r="C941" s="16"/>
      <c r="D941" s="16"/>
      <c r="E941" s="3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 x14ac:dyDescent="0.55000000000000004">
      <c r="A942" s="16"/>
      <c r="B942" s="16"/>
      <c r="C942" s="16"/>
      <c r="D942" s="16"/>
      <c r="E942" s="3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 x14ac:dyDescent="0.55000000000000004">
      <c r="A943" s="16"/>
      <c r="B943" s="16"/>
      <c r="C943" s="16"/>
      <c r="D943" s="16"/>
      <c r="E943" s="3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 x14ac:dyDescent="0.55000000000000004">
      <c r="A944" s="16"/>
      <c r="B944" s="16"/>
      <c r="C944" s="16"/>
      <c r="D944" s="16"/>
      <c r="E944" s="3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 x14ac:dyDescent="0.55000000000000004">
      <c r="A945" s="16"/>
      <c r="B945" s="16"/>
      <c r="C945" s="16"/>
      <c r="D945" s="16"/>
      <c r="E945" s="3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 x14ac:dyDescent="0.55000000000000004">
      <c r="A946" s="16"/>
      <c r="B946" s="16"/>
      <c r="C946" s="16"/>
      <c r="D946" s="16"/>
      <c r="E946" s="3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 x14ac:dyDescent="0.55000000000000004">
      <c r="A947" s="16"/>
      <c r="B947" s="16"/>
      <c r="C947" s="16"/>
      <c r="D947" s="16"/>
      <c r="E947" s="3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 x14ac:dyDescent="0.55000000000000004">
      <c r="A948" s="16"/>
      <c r="B948" s="16"/>
      <c r="C948" s="16"/>
      <c r="D948" s="16"/>
      <c r="E948" s="3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 x14ac:dyDescent="0.55000000000000004">
      <c r="A949" s="16"/>
      <c r="B949" s="16"/>
      <c r="C949" s="16"/>
      <c r="D949" s="16"/>
      <c r="E949" s="3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 x14ac:dyDescent="0.55000000000000004">
      <c r="A950" s="16"/>
      <c r="B950" s="16"/>
      <c r="C950" s="16"/>
      <c r="D950" s="16"/>
      <c r="E950" s="3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 x14ac:dyDescent="0.55000000000000004">
      <c r="A951" s="16"/>
      <c r="B951" s="16"/>
      <c r="C951" s="16"/>
      <c r="D951" s="16"/>
      <c r="E951" s="3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 x14ac:dyDescent="0.55000000000000004">
      <c r="A952" s="16"/>
      <c r="B952" s="16"/>
      <c r="C952" s="16"/>
      <c r="D952" s="16"/>
      <c r="E952" s="3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 x14ac:dyDescent="0.55000000000000004">
      <c r="A953" s="16"/>
      <c r="B953" s="16"/>
      <c r="C953" s="16"/>
      <c r="D953" s="16"/>
      <c r="E953" s="3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 x14ac:dyDescent="0.55000000000000004">
      <c r="A954" s="16"/>
      <c r="B954" s="16"/>
      <c r="C954" s="16"/>
      <c r="D954" s="16"/>
      <c r="E954" s="3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 x14ac:dyDescent="0.55000000000000004">
      <c r="A955" s="16"/>
      <c r="B955" s="16"/>
      <c r="C955" s="16"/>
      <c r="D955" s="16"/>
      <c r="E955" s="3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 x14ac:dyDescent="0.55000000000000004">
      <c r="A956" s="16"/>
      <c r="B956" s="16"/>
      <c r="C956" s="16"/>
      <c r="D956" s="16"/>
      <c r="E956" s="3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 x14ac:dyDescent="0.55000000000000004">
      <c r="A957" s="16"/>
      <c r="B957" s="16"/>
      <c r="C957" s="16"/>
      <c r="D957" s="16"/>
      <c r="E957" s="3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 x14ac:dyDescent="0.55000000000000004">
      <c r="A958" s="16"/>
      <c r="B958" s="16"/>
      <c r="C958" s="16"/>
      <c r="D958" s="16"/>
      <c r="E958" s="3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 x14ac:dyDescent="0.55000000000000004">
      <c r="A959" s="16"/>
      <c r="B959" s="16"/>
      <c r="C959" s="16"/>
      <c r="D959" s="16"/>
      <c r="E959" s="3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 x14ac:dyDescent="0.55000000000000004">
      <c r="A960" s="16"/>
      <c r="B960" s="16"/>
      <c r="C960" s="16"/>
      <c r="D960" s="16"/>
      <c r="E960" s="3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 x14ac:dyDescent="0.55000000000000004">
      <c r="A961" s="16"/>
      <c r="B961" s="16"/>
      <c r="C961" s="16"/>
      <c r="D961" s="16"/>
      <c r="E961" s="3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 x14ac:dyDescent="0.55000000000000004">
      <c r="A962" s="16"/>
      <c r="B962" s="16"/>
      <c r="C962" s="16"/>
      <c r="D962" s="16"/>
      <c r="E962" s="3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 x14ac:dyDescent="0.55000000000000004">
      <c r="A963" s="16"/>
      <c r="B963" s="16"/>
      <c r="C963" s="16"/>
      <c r="D963" s="16"/>
      <c r="E963" s="3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 x14ac:dyDescent="0.55000000000000004">
      <c r="A964" s="16"/>
      <c r="B964" s="16"/>
      <c r="C964" s="16"/>
      <c r="D964" s="16"/>
      <c r="E964" s="3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 x14ac:dyDescent="0.55000000000000004">
      <c r="A965" s="16"/>
      <c r="B965" s="16"/>
      <c r="C965" s="16"/>
      <c r="D965" s="16"/>
      <c r="E965" s="3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 x14ac:dyDescent="0.55000000000000004">
      <c r="A966" s="16"/>
      <c r="B966" s="16"/>
      <c r="C966" s="16"/>
      <c r="D966" s="16"/>
      <c r="E966" s="3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 x14ac:dyDescent="0.55000000000000004">
      <c r="A967" s="16"/>
      <c r="B967" s="16"/>
      <c r="C967" s="16"/>
      <c r="D967" s="16"/>
      <c r="E967" s="3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 x14ac:dyDescent="0.55000000000000004">
      <c r="A968" s="16"/>
      <c r="B968" s="16"/>
      <c r="C968" s="16"/>
      <c r="D968" s="16"/>
      <c r="E968" s="3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 x14ac:dyDescent="0.55000000000000004">
      <c r="A969" s="16"/>
      <c r="B969" s="16"/>
      <c r="C969" s="16"/>
      <c r="D969" s="16"/>
      <c r="E969" s="3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 x14ac:dyDescent="0.55000000000000004">
      <c r="A970" s="16"/>
      <c r="B970" s="16"/>
      <c r="C970" s="16"/>
      <c r="D970" s="16"/>
      <c r="E970" s="3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 x14ac:dyDescent="0.55000000000000004">
      <c r="A971" s="16"/>
      <c r="B971" s="16"/>
      <c r="C971" s="16"/>
      <c r="D971" s="16"/>
      <c r="E971" s="3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 x14ac:dyDescent="0.55000000000000004">
      <c r="A972" s="16"/>
      <c r="B972" s="16"/>
      <c r="C972" s="16"/>
      <c r="D972" s="16"/>
      <c r="E972" s="3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 x14ac:dyDescent="0.55000000000000004">
      <c r="A973" s="16"/>
      <c r="B973" s="16"/>
      <c r="C973" s="16"/>
      <c r="D973" s="16"/>
      <c r="E973" s="3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 x14ac:dyDescent="0.55000000000000004">
      <c r="A974" s="16"/>
      <c r="B974" s="16"/>
      <c r="C974" s="16"/>
      <c r="D974" s="16"/>
      <c r="E974" s="3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 x14ac:dyDescent="0.55000000000000004">
      <c r="A975" s="16"/>
      <c r="B975" s="16"/>
      <c r="C975" s="16"/>
      <c r="D975" s="16"/>
      <c r="E975" s="3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 x14ac:dyDescent="0.55000000000000004">
      <c r="A976" s="16"/>
      <c r="B976" s="16"/>
      <c r="C976" s="16"/>
      <c r="D976" s="16"/>
      <c r="E976" s="3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 x14ac:dyDescent="0.55000000000000004">
      <c r="A977" s="16"/>
      <c r="B977" s="16"/>
      <c r="C977" s="16"/>
      <c r="D977" s="16"/>
      <c r="E977" s="3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 x14ac:dyDescent="0.55000000000000004">
      <c r="A978" s="16"/>
      <c r="B978" s="16"/>
      <c r="C978" s="16"/>
      <c r="D978" s="16"/>
      <c r="E978" s="3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 x14ac:dyDescent="0.55000000000000004">
      <c r="A979" s="16"/>
      <c r="B979" s="16"/>
      <c r="C979" s="16"/>
      <c r="D979" s="16"/>
      <c r="E979" s="3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 x14ac:dyDescent="0.55000000000000004">
      <c r="A980" s="16"/>
      <c r="B980" s="16"/>
      <c r="C980" s="16"/>
      <c r="D980" s="16"/>
      <c r="E980" s="3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 x14ac:dyDescent="0.55000000000000004">
      <c r="A981" s="16"/>
      <c r="B981" s="16"/>
      <c r="C981" s="16"/>
      <c r="D981" s="16"/>
      <c r="E981" s="3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 x14ac:dyDescent="0.55000000000000004">
      <c r="A982" s="16"/>
      <c r="B982" s="16"/>
      <c r="C982" s="16"/>
      <c r="D982" s="16"/>
      <c r="E982" s="3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 x14ac:dyDescent="0.55000000000000004">
      <c r="A983" s="16"/>
      <c r="B983" s="16"/>
      <c r="C983" s="16"/>
      <c r="D983" s="16"/>
      <c r="E983" s="3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 x14ac:dyDescent="0.55000000000000004">
      <c r="A984" s="16"/>
      <c r="B984" s="16"/>
      <c r="C984" s="16"/>
      <c r="D984" s="16"/>
      <c r="E984" s="3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 x14ac:dyDescent="0.55000000000000004">
      <c r="A985" s="16"/>
      <c r="B985" s="16"/>
      <c r="C985" s="16"/>
      <c r="D985" s="16"/>
      <c r="E985" s="3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 x14ac:dyDescent="0.55000000000000004">
      <c r="A986" s="16"/>
      <c r="B986" s="16"/>
      <c r="C986" s="16"/>
      <c r="D986" s="16"/>
      <c r="E986" s="3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 x14ac:dyDescent="0.55000000000000004">
      <c r="A987" s="16"/>
      <c r="B987" s="16"/>
      <c r="C987" s="16"/>
      <c r="D987" s="16"/>
      <c r="E987" s="3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 x14ac:dyDescent="0.55000000000000004">
      <c r="A988" s="16"/>
      <c r="B988" s="16"/>
      <c r="C988" s="16"/>
      <c r="D988" s="16"/>
      <c r="E988" s="3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 x14ac:dyDescent="0.55000000000000004">
      <c r="A989" s="16"/>
      <c r="B989" s="16"/>
      <c r="C989" s="16"/>
      <c r="D989" s="16"/>
      <c r="E989" s="3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 x14ac:dyDescent="0.55000000000000004">
      <c r="A990" s="16"/>
      <c r="B990" s="16"/>
      <c r="C990" s="16"/>
      <c r="D990" s="16"/>
      <c r="E990" s="3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 x14ac:dyDescent="0.55000000000000004">
      <c r="A991" s="16"/>
      <c r="B991" s="16"/>
      <c r="C991" s="16"/>
      <c r="D991" s="16"/>
      <c r="E991" s="3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 x14ac:dyDescent="0.55000000000000004">
      <c r="A992" s="16"/>
      <c r="B992" s="16"/>
      <c r="C992" s="16"/>
      <c r="D992" s="16"/>
      <c r="E992" s="3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 x14ac:dyDescent="0.55000000000000004">
      <c r="A993" s="16"/>
      <c r="B993" s="16"/>
      <c r="C993" s="16"/>
      <c r="D993" s="16"/>
      <c r="E993" s="3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 x14ac:dyDescent="0.55000000000000004">
      <c r="A994" s="16"/>
      <c r="B994" s="16"/>
      <c r="C994" s="16"/>
      <c r="D994" s="16"/>
      <c r="E994" s="3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 x14ac:dyDescent="0.55000000000000004">
      <c r="A995" s="16"/>
      <c r="B995" s="16"/>
      <c r="C995" s="16"/>
      <c r="D995" s="16"/>
      <c r="E995" s="3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 x14ac:dyDescent="0.55000000000000004">
      <c r="A996" s="16"/>
      <c r="B996" s="16"/>
      <c r="C996" s="16"/>
      <c r="D996" s="16"/>
      <c r="E996" s="3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 x14ac:dyDescent="0.55000000000000004">
      <c r="A997" s="16"/>
      <c r="B997" s="16"/>
      <c r="C997" s="16"/>
      <c r="D997" s="16"/>
      <c r="E997" s="3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 x14ac:dyDescent="0.55000000000000004">
      <c r="A998" s="16"/>
      <c r="B998" s="16"/>
      <c r="C998" s="16"/>
      <c r="D998" s="16"/>
      <c r="E998" s="3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 x14ac:dyDescent="0.55000000000000004">
      <c r="A999" s="16"/>
      <c r="B999" s="16"/>
      <c r="C999" s="16"/>
      <c r="D999" s="16"/>
      <c r="E999" s="3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 x14ac:dyDescent="0.55000000000000004">
      <c r="A1000" s="16"/>
      <c r="B1000" s="16"/>
      <c r="C1000" s="16"/>
      <c r="D1000" s="16"/>
      <c r="E1000" s="3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1796875" defaultRowHeight="15" customHeight="1" x14ac:dyDescent="0.55000000000000004"/>
  <cols>
    <col min="1" max="1" width="5.26171875" customWidth="1"/>
    <col min="2" max="2" width="3.15625" customWidth="1"/>
    <col min="3" max="3" width="35.41796875" customWidth="1"/>
    <col min="4" max="4" width="8.68359375" customWidth="1"/>
    <col min="5" max="7" width="12.26171875" customWidth="1"/>
    <col min="8" max="8" width="17.83984375" customWidth="1"/>
    <col min="9" max="9" width="14.26171875" customWidth="1"/>
    <col min="10" max="11" width="13.26171875" customWidth="1"/>
    <col min="12" max="12" width="3.26171875" customWidth="1"/>
    <col min="13" max="13" width="16.68359375" customWidth="1"/>
    <col min="14" max="26" width="8.68359375" customWidth="1"/>
  </cols>
  <sheetData>
    <row r="1" spans="2:13" ht="14.25" customHeight="1" x14ac:dyDescent="0.55000000000000004">
      <c r="B1" s="1"/>
      <c r="I1" s="1"/>
      <c r="J1" s="1"/>
      <c r="K1" s="1"/>
    </row>
    <row r="2" spans="2:13" ht="14.25" customHeight="1" x14ac:dyDescent="0.55000000000000004">
      <c r="B2" s="1"/>
      <c r="I2" s="1"/>
      <c r="J2" s="1"/>
      <c r="K2" s="1"/>
    </row>
    <row r="3" spans="2:13" ht="14.25" customHeight="1" x14ac:dyDescent="0.55000000000000004">
      <c r="B3" s="1"/>
      <c r="C3" s="45" t="s">
        <v>3</v>
      </c>
      <c r="D3" s="45" t="s">
        <v>0</v>
      </c>
      <c r="E3" s="47" t="s">
        <v>6</v>
      </c>
      <c r="F3" s="48"/>
      <c r="G3" s="49"/>
      <c r="H3" s="50" t="s">
        <v>7</v>
      </c>
      <c r="I3" s="52" t="s">
        <v>13</v>
      </c>
      <c r="J3" s="53"/>
      <c r="K3" s="53"/>
    </row>
    <row r="4" spans="2:13" ht="14.25" customHeight="1" x14ac:dyDescent="0.55000000000000004">
      <c r="B4" s="1" t="s">
        <v>15</v>
      </c>
      <c r="C4" s="46"/>
      <c r="D4" s="46"/>
      <c r="E4" s="13" t="s">
        <v>12</v>
      </c>
      <c r="F4" s="13" t="s">
        <v>37</v>
      </c>
      <c r="G4" s="13" t="s">
        <v>38</v>
      </c>
      <c r="H4" s="51"/>
      <c r="I4" s="17" t="s">
        <v>12</v>
      </c>
      <c r="J4" s="17" t="s">
        <v>37</v>
      </c>
      <c r="K4" s="17" t="s">
        <v>38</v>
      </c>
      <c r="M4" s="19" t="s">
        <v>41</v>
      </c>
    </row>
    <row r="5" spans="2:13" ht="14.25" customHeight="1" x14ac:dyDescent="0.55000000000000004">
      <c r="B5" s="1">
        <v>1</v>
      </c>
      <c r="C5" s="21" t="s">
        <v>43</v>
      </c>
      <c r="D5" s="21" t="s">
        <v>44</v>
      </c>
      <c r="E5" s="24">
        <v>8300</v>
      </c>
      <c r="F5" s="24">
        <v>3941</v>
      </c>
      <c r="G5" s="24">
        <v>4359</v>
      </c>
      <c r="H5" s="25" t="s">
        <v>51</v>
      </c>
      <c r="I5" s="24">
        <v>8300</v>
      </c>
      <c r="J5" s="24">
        <v>3941</v>
      </c>
      <c r="K5" s="24">
        <v>4359</v>
      </c>
      <c r="M5" s="21" t="s">
        <v>52</v>
      </c>
    </row>
    <row r="6" spans="2:13" ht="14.25" customHeight="1" x14ac:dyDescent="0.55000000000000004">
      <c r="B6" s="1">
        <v>2</v>
      </c>
      <c r="C6" s="21" t="s">
        <v>55</v>
      </c>
      <c r="D6" s="21" t="s">
        <v>44</v>
      </c>
      <c r="E6" s="24">
        <v>7923</v>
      </c>
      <c r="F6" s="24">
        <v>4125</v>
      </c>
      <c r="G6" s="24">
        <v>3798</v>
      </c>
      <c r="H6" s="25" t="s">
        <v>57</v>
      </c>
      <c r="I6" s="24">
        <v>4393</v>
      </c>
      <c r="J6" s="24">
        <v>2295</v>
      </c>
      <c r="K6" s="24">
        <v>2098</v>
      </c>
      <c r="M6" s="21" t="s">
        <v>52</v>
      </c>
    </row>
    <row r="7" spans="2:13" ht="14.25" customHeight="1" x14ac:dyDescent="0.55000000000000004">
      <c r="B7" s="1">
        <v>3</v>
      </c>
      <c r="C7" s="21" t="s">
        <v>59</v>
      </c>
      <c r="D7" s="21" t="s">
        <v>44</v>
      </c>
      <c r="E7" s="24">
        <v>9784</v>
      </c>
      <c r="F7" s="24">
        <v>4646</v>
      </c>
      <c r="G7" s="24">
        <v>5138</v>
      </c>
      <c r="H7" s="27">
        <v>1</v>
      </c>
      <c r="I7" s="24">
        <v>2493</v>
      </c>
      <c r="J7" s="24">
        <v>1195</v>
      </c>
      <c r="K7" s="24">
        <v>1298</v>
      </c>
      <c r="M7" s="21" t="s">
        <v>52</v>
      </c>
    </row>
    <row r="8" spans="2:13" ht="14.25" customHeight="1" x14ac:dyDescent="0.55000000000000004">
      <c r="B8" s="1">
        <v>4</v>
      </c>
      <c r="C8" s="21" t="s">
        <v>62</v>
      </c>
      <c r="D8" s="21" t="s">
        <v>44</v>
      </c>
      <c r="E8" s="24">
        <v>6429</v>
      </c>
      <c r="F8" s="24">
        <v>3334</v>
      </c>
      <c r="G8" s="24">
        <v>3095</v>
      </c>
      <c r="H8" s="27">
        <v>1</v>
      </c>
      <c r="I8" s="24">
        <v>1455</v>
      </c>
      <c r="J8" s="24">
        <v>734</v>
      </c>
      <c r="K8" s="24">
        <v>721</v>
      </c>
      <c r="M8" s="21" t="s">
        <v>52</v>
      </c>
    </row>
    <row r="9" spans="2:13" ht="14.25" customHeight="1" x14ac:dyDescent="0.55000000000000004">
      <c r="B9" s="1">
        <v>5</v>
      </c>
      <c r="C9" s="21" t="s">
        <v>64</v>
      </c>
      <c r="D9" s="21" t="s">
        <v>65</v>
      </c>
      <c r="E9" s="24">
        <v>60308</v>
      </c>
      <c r="F9" s="24">
        <v>28171</v>
      </c>
      <c r="G9" s="24">
        <v>32137</v>
      </c>
      <c r="H9" s="25" t="s">
        <v>66</v>
      </c>
      <c r="I9" s="24">
        <v>27331</v>
      </c>
      <c r="J9" s="24">
        <v>12805</v>
      </c>
      <c r="K9" s="24">
        <v>14526</v>
      </c>
      <c r="M9" s="21" t="s">
        <v>52</v>
      </c>
    </row>
    <row r="10" spans="2:13" ht="14.25" customHeight="1" x14ac:dyDescent="0.55000000000000004">
      <c r="B10" s="1">
        <v>6</v>
      </c>
      <c r="C10" s="21" t="s">
        <v>67</v>
      </c>
      <c r="D10" s="21" t="s">
        <v>65</v>
      </c>
      <c r="E10" s="24">
        <v>34901</v>
      </c>
      <c r="F10" s="24">
        <v>16287</v>
      </c>
      <c r="G10" s="24">
        <v>18614</v>
      </c>
      <c r="H10" s="25" t="s">
        <v>69</v>
      </c>
      <c r="I10" s="24">
        <v>10507</v>
      </c>
      <c r="J10" s="24">
        <v>4951</v>
      </c>
      <c r="K10" s="24">
        <v>5556</v>
      </c>
      <c r="M10" s="21" t="s">
        <v>52</v>
      </c>
    </row>
    <row r="11" spans="2:13" ht="14.25" customHeight="1" x14ac:dyDescent="0.55000000000000004">
      <c r="B11" s="1">
        <v>7</v>
      </c>
      <c r="C11" s="21" t="s">
        <v>70</v>
      </c>
      <c r="D11" s="21" t="s">
        <v>65</v>
      </c>
      <c r="E11" s="24">
        <v>13000</v>
      </c>
      <c r="F11" s="24">
        <v>6109</v>
      </c>
      <c r="G11" s="24">
        <v>6891</v>
      </c>
      <c r="H11" s="27">
        <v>5</v>
      </c>
      <c r="I11" s="24">
        <v>3095</v>
      </c>
      <c r="J11" s="24">
        <v>1468</v>
      </c>
      <c r="K11" s="24">
        <v>1627</v>
      </c>
      <c r="M11" s="21" t="s">
        <v>52</v>
      </c>
    </row>
    <row r="12" spans="2:13" ht="14.25" customHeight="1" x14ac:dyDescent="0.55000000000000004">
      <c r="B12" s="1">
        <v>8</v>
      </c>
      <c r="C12" s="21" t="s">
        <v>71</v>
      </c>
      <c r="D12" s="21" t="s">
        <v>65</v>
      </c>
      <c r="E12" s="24">
        <v>13031</v>
      </c>
      <c r="F12" s="24">
        <v>5891</v>
      </c>
      <c r="G12" s="24">
        <v>7140</v>
      </c>
      <c r="H12" s="25" t="s">
        <v>72</v>
      </c>
      <c r="I12" s="24">
        <v>4177</v>
      </c>
      <c r="J12" s="24">
        <v>1889</v>
      </c>
      <c r="K12" s="24">
        <v>2288</v>
      </c>
      <c r="M12" s="21" t="s">
        <v>52</v>
      </c>
    </row>
    <row r="13" spans="2:13" ht="14.25" customHeight="1" x14ac:dyDescent="0.55000000000000004">
      <c r="B13" s="1">
        <v>9</v>
      </c>
      <c r="C13" s="21" t="s">
        <v>74</v>
      </c>
      <c r="D13" s="21" t="s">
        <v>40</v>
      </c>
      <c r="E13" s="24">
        <v>27716</v>
      </c>
      <c r="F13" s="24">
        <v>13809</v>
      </c>
      <c r="G13" s="24">
        <v>13907</v>
      </c>
      <c r="H13" s="25" t="s">
        <v>75</v>
      </c>
      <c r="I13" s="24">
        <v>17703</v>
      </c>
      <c r="J13" s="24">
        <v>8804</v>
      </c>
      <c r="K13" s="24">
        <v>8899</v>
      </c>
      <c r="M13" s="21" t="s">
        <v>52</v>
      </c>
    </row>
    <row r="14" spans="2:13" ht="14.25" customHeight="1" x14ac:dyDescent="0.55000000000000004">
      <c r="B14" s="1">
        <v>10</v>
      </c>
      <c r="C14" s="21" t="s">
        <v>78</v>
      </c>
      <c r="D14" s="21" t="s">
        <v>40</v>
      </c>
      <c r="E14" s="24">
        <v>22322</v>
      </c>
      <c r="F14" s="24">
        <v>10714</v>
      </c>
      <c r="G14" s="24">
        <v>11608</v>
      </c>
      <c r="H14" s="25" t="s">
        <v>79</v>
      </c>
      <c r="I14" s="24">
        <v>15036</v>
      </c>
      <c r="J14" s="24">
        <v>7217</v>
      </c>
      <c r="K14" s="24">
        <v>7819</v>
      </c>
      <c r="M14" s="21" t="s">
        <v>52</v>
      </c>
    </row>
    <row r="15" spans="2:13" ht="14.25" customHeight="1" x14ac:dyDescent="0.55000000000000004">
      <c r="B15" s="1">
        <v>11</v>
      </c>
      <c r="C15" s="21" t="s">
        <v>81</v>
      </c>
      <c r="D15" s="21" t="s">
        <v>40</v>
      </c>
      <c r="E15" s="24">
        <v>32595</v>
      </c>
      <c r="F15" s="24">
        <v>16110</v>
      </c>
      <c r="G15" s="24">
        <v>16485</v>
      </c>
      <c r="H15" s="25" t="s">
        <v>83</v>
      </c>
      <c r="I15" s="24">
        <v>18557</v>
      </c>
      <c r="J15" s="24">
        <v>9189</v>
      </c>
      <c r="K15" s="24">
        <v>9368</v>
      </c>
      <c r="M15" s="21" t="s">
        <v>52</v>
      </c>
    </row>
    <row r="16" spans="2:13" ht="14.25" customHeight="1" x14ac:dyDescent="0.55000000000000004">
      <c r="B16" s="1">
        <v>12</v>
      </c>
      <c r="C16" s="21" t="s">
        <v>84</v>
      </c>
      <c r="D16" s="21" t="s">
        <v>40</v>
      </c>
      <c r="E16" s="24">
        <v>20066</v>
      </c>
      <c r="F16" s="24">
        <v>9292</v>
      </c>
      <c r="G16" s="24">
        <v>10774</v>
      </c>
      <c r="H16" s="25" t="s">
        <v>86</v>
      </c>
      <c r="I16" s="24">
        <v>11169</v>
      </c>
      <c r="J16" s="24">
        <v>5238</v>
      </c>
      <c r="K16" s="24">
        <v>5931</v>
      </c>
      <c r="M16" s="21" t="s">
        <v>52</v>
      </c>
    </row>
    <row r="17" spans="1:26" ht="14.25" customHeight="1" x14ac:dyDescent="0.55000000000000004">
      <c r="B17" s="1">
        <v>13</v>
      </c>
      <c r="C17" s="21" t="s">
        <v>88</v>
      </c>
      <c r="D17" s="21" t="s">
        <v>56</v>
      </c>
      <c r="E17" s="24">
        <v>18956</v>
      </c>
      <c r="F17" s="24">
        <v>8757</v>
      </c>
      <c r="G17" s="24">
        <v>10199</v>
      </c>
      <c r="H17" s="25" t="s">
        <v>89</v>
      </c>
      <c r="I17" s="24">
        <v>13391</v>
      </c>
      <c r="J17" s="24">
        <v>6266</v>
      </c>
      <c r="K17" s="24">
        <v>7125</v>
      </c>
      <c r="M17" s="21" t="s">
        <v>52</v>
      </c>
    </row>
    <row r="18" spans="1:26" ht="14.25" customHeight="1" x14ac:dyDescent="0.55000000000000004">
      <c r="B18" s="1">
        <v>14</v>
      </c>
      <c r="C18" s="21" t="s">
        <v>91</v>
      </c>
      <c r="D18" s="21" t="s">
        <v>92</v>
      </c>
      <c r="E18" s="24">
        <v>13711</v>
      </c>
      <c r="F18" s="24">
        <v>6504</v>
      </c>
      <c r="G18" s="24">
        <v>7207</v>
      </c>
      <c r="H18" s="25" t="s">
        <v>93</v>
      </c>
      <c r="I18" s="24">
        <v>7717</v>
      </c>
      <c r="J18" s="24">
        <v>3646</v>
      </c>
      <c r="K18" s="24">
        <v>4071</v>
      </c>
      <c r="M18" s="21" t="s">
        <v>52</v>
      </c>
    </row>
    <row r="19" spans="1:26" ht="14.25" customHeight="1" x14ac:dyDescent="0.55000000000000004">
      <c r="B19" s="1">
        <v>15</v>
      </c>
      <c r="C19" s="21" t="s">
        <v>95</v>
      </c>
      <c r="D19" s="21" t="s">
        <v>92</v>
      </c>
      <c r="E19" s="24">
        <v>21034</v>
      </c>
      <c r="F19" s="24">
        <v>9674</v>
      </c>
      <c r="G19" s="24">
        <v>11360</v>
      </c>
      <c r="H19" s="25" t="s">
        <v>93</v>
      </c>
      <c r="I19" s="24">
        <v>3042</v>
      </c>
      <c r="J19" s="24">
        <v>1440</v>
      </c>
      <c r="K19" s="24">
        <v>1602</v>
      </c>
      <c r="M19" s="21" t="s">
        <v>52</v>
      </c>
    </row>
    <row r="20" spans="1:26" ht="14.25" customHeight="1" x14ac:dyDescent="0.55000000000000004">
      <c r="B20" s="1">
        <v>16</v>
      </c>
      <c r="C20" s="21" t="s">
        <v>98</v>
      </c>
      <c r="D20" s="21" t="s">
        <v>56</v>
      </c>
      <c r="E20" s="24">
        <v>20189</v>
      </c>
      <c r="F20" s="24">
        <v>8948</v>
      </c>
      <c r="G20" s="24">
        <v>11241</v>
      </c>
      <c r="H20" s="1" t="s">
        <v>99</v>
      </c>
      <c r="I20" s="24">
        <v>9694</v>
      </c>
      <c r="J20" s="24">
        <v>4347</v>
      </c>
      <c r="K20" s="24">
        <v>5347</v>
      </c>
      <c r="M20" s="21" t="s">
        <v>52</v>
      </c>
    </row>
    <row r="21" spans="1:26" ht="14.25" customHeight="1" x14ac:dyDescent="0.55000000000000004">
      <c r="B21" s="1">
        <v>17</v>
      </c>
      <c r="C21" s="21" t="s">
        <v>102</v>
      </c>
      <c r="D21" s="21" t="s">
        <v>14</v>
      </c>
      <c r="E21" s="24">
        <v>22279</v>
      </c>
      <c r="F21" s="24">
        <v>11789</v>
      </c>
      <c r="G21" s="24">
        <v>10490</v>
      </c>
      <c r="H21" s="1" t="s">
        <v>104</v>
      </c>
      <c r="I21" s="24">
        <v>6308</v>
      </c>
      <c r="J21" s="24">
        <v>3349</v>
      </c>
      <c r="K21" s="24">
        <v>2959</v>
      </c>
      <c r="M21" s="21" t="s">
        <v>52</v>
      </c>
    </row>
    <row r="22" spans="1:26" ht="14.25" customHeight="1" x14ac:dyDescent="0.55000000000000004">
      <c r="A22" s="10"/>
      <c r="B22" s="6"/>
      <c r="C22" s="32" t="s">
        <v>12</v>
      </c>
      <c r="D22" s="33"/>
      <c r="E22" s="35">
        <f t="shared" ref="E22:G22" si="0">SUM(E5:E21)</f>
        <v>352544</v>
      </c>
      <c r="F22" s="35">
        <f t="shared" si="0"/>
        <v>168101</v>
      </c>
      <c r="G22" s="35">
        <f t="shared" si="0"/>
        <v>184443</v>
      </c>
      <c r="H22" s="10"/>
      <c r="I22" s="37">
        <f t="shared" ref="I22:K22" si="1">SUM(I5:I21)</f>
        <v>164368</v>
      </c>
      <c r="J22" s="37">
        <f t="shared" si="1"/>
        <v>78774</v>
      </c>
      <c r="K22" s="37">
        <f t="shared" si="1"/>
        <v>85594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55000000000000004">
      <c r="A23" s="10"/>
      <c r="B23" s="6"/>
      <c r="C23" s="38"/>
      <c r="D23" s="10"/>
      <c r="E23" s="39"/>
      <c r="F23" s="39"/>
      <c r="G23" s="39"/>
      <c r="H23" s="10"/>
      <c r="I23" s="6"/>
      <c r="J23" s="6"/>
      <c r="K23" s="6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55000000000000004">
      <c r="B24" s="1"/>
      <c r="C24" s="40" t="s">
        <v>112</v>
      </c>
      <c r="I24" s="1"/>
      <c r="J24" s="1"/>
      <c r="K24" s="1"/>
    </row>
    <row r="25" spans="1:26" ht="14.25" customHeight="1" x14ac:dyDescent="0.55000000000000004">
      <c r="B25" s="1"/>
      <c r="I25" s="41"/>
      <c r="J25" s="1"/>
      <c r="K25" s="1"/>
    </row>
    <row r="26" spans="1:26" ht="14.25" customHeight="1" x14ac:dyDescent="0.55000000000000004">
      <c r="B26" s="1"/>
      <c r="I26" s="1"/>
      <c r="J26" s="1"/>
      <c r="K26" s="1"/>
    </row>
    <row r="27" spans="1:26" ht="14.25" customHeight="1" x14ac:dyDescent="0.55000000000000004">
      <c r="B27" s="1"/>
      <c r="I27" s="1"/>
      <c r="J27" s="1"/>
      <c r="K27" s="1"/>
    </row>
    <row r="28" spans="1:26" ht="14.25" customHeight="1" x14ac:dyDescent="0.55000000000000004">
      <c r="B28" s="1"/>
      <c r="I28" s="1"/>
      <c r="J28" s="1"/>
      <c r="K28" s="1"/>
    </row>
    <row r="29" spans="1:26" ht="14.25" customHeight="1" x14ac:dyDescent="0.55000000000000004">
      <c r="B29" s="1"/>
      <c r="I29" s="1"/>
      <c r="J29" s="1"/>
      <c r="K29" s="1"/>
    </row>
    <row r="30" spans="1:26" ht="14.25" customHeight="1" x14ac:dyDescent="0.55000000000000004">
      <c r="B30" s="1"/>
      <c r="I30" s="1"/>
      <c r="J30" s="1"/>
      <c r="K30" s="1"/>
    </row>
    <row r="31" spans="1:26" ht="14.25" customHeight="1" x14ac:dyDescent="0.55000000000000004">
      <c r="B31" s="1"/>
      <c r="I31" s="1"/>
      <c r="J31" s="1"/>
      <c r="K31" s="1"/>
    </row>
    <row r="32" spans="1:26" ht="14.25" customHeight="1" x14ac:dyDescent="0.55000000000000004">
      <c r="B32" s="1"/>
      <c r="I32" s="1"/>
      <c r="J32" s="1"/>
      <c r="K32" s="1"/>
    </row>
    <row r="33" spans="2:11" ht="14.25" customHeight="1" x14ac:dyDescent="0.55000000000000004">
      <c r="B33" s="1"/>
      <c r="I33" s="1"/>
      <c r="J33" s="1"/>
      <c r="K33" s="1"/>
    </row>
    <row r="34" spans="2:11" ht="14.25" customHeight="1" x14ac:dyDescent="0.55000000000000004">
      <c r="B34" s="1"/>
      <c r="I34" s="1"/>
      <c r="J34" s="1"/>
      <c r="K34" s="1"/>
    </row>
    <row r="35" spans="2:11" ht="14.25" customHeight="1" x14ac:dyDescent="0.55000000000000004">
      <c r="B35" s="1"/>
      <c r="I35" s="1"/>
      <c r="J35" s="1"/>
      <c r="K35" s="1"/>
    </row>
    <row r="36" spans="2:11" ht="14.25" customHeight="1" x14ac:dyDescent="0.55000000000000004">
      <c r="B36" s="1"/>
      <c r="I36" s="1"/>
      <c r="J36" s="1"/>
      <c r="K36" s="1"/>
    </row>
    <row r="37" spans="2:11" ht="14.25" customHeight="1" x14ac:dyDescent="0.55000000000000004">
      <c r="B37" s="1"/>
      <c r="I37" s="1"/>
      <c r="J37" s="1"/>
      <c r="K37" s="1"/>
    </row>
    <row r="38" spans="2:11" ht="14.25" customHeight="1" x14ac:dyDescent="0.55000000000000004">
      <c r="B38" s="1"/>
      <c r="I38" s="1"/>
      <c r="J38" s="1"/>
      <c r="K38" s="1"/>
    </row>
    <row r="39" spans="2:11" ht="14.25" customHeight="1" x14ac:dyDescent="0.55000000000000004">
      <c r="B39" s="1"/>
      <c r="I39" s="1"/>
      <c r="J39" s="1"/>
      <c r="K39" s="1"/>
    </row>
    <row r="40" spans="2:11" ht="14.25" customHeight="1" x14ac:dyDescent="0.55000000000000004">
      <c r="B40" s="1"/>
      <c r="I40" s="1"/>
      <c r="J40" s="1"/>
      <c r="K40" s="1"/>
    </row>
    <row r="41" spans="2:11" ht="14.25" customHeight="1" x14ac:dyDescent="0.55000000000000004">
      <c r="B41" s="1"/>
      <c r="I41" s="1"/>
      <c r="J41" s="1"/>
      <c r="K41" s="1"/>
    </row>
    <row r="42" spans="2:11" ht="14.25" customHeight="1" x14ac:dyDescent="0.55000000000000004">
      <c r="B42" s="1"/>
      <c r="I42" s="1"/>
      <c r="J42" s="1"/>
      <c r="K42" s="1"/>
    </row>
    <row r="43" spans="2:11" ht="14.25" customHeight="1" x14ac:dyDescent="0.55000000000000004">
      <c r="B43" s="1"/>
      <c r="I43" s="1"/>
      <c r="J43" s="1"/>
      <c r="K43" s="1"/>
    </row>
    <row r="44" spans="2:11" ht="14.25" customHeight="1" x14ac:dyDescent="0.55000000000000004">
      <c r="B44" s="1"/>
      <c r="I44" s="1"/>
      <c r="J44" s="1"/>
      <c r="K44" s="1"/>
    </row>
    <row r="45" spans="2:11" ht="14.25" customHeight="1" x14ac:dyDescent="0.55000000000000004">
      <c r="B45" s="1"/>
      <c r="I45" s="1"/>
      <c r="J45" s="1"/>
      <c r="K45" s="1"/>
    </row>
    <row r="46" spans="2:11" ht="14.25" customHeight="1" x14ac:dyDescent="0.55000000000000004">
      <c r="B46" s="1"/>
      <c r="I46" s="1"/>
      <c r="J46" s="1"/>
      <c r="K46" s="1"/>
    </row>
    <row r="47" spans="2:11" ht="14.25" customHeight="1" x14ac:dyDescent="0.55000000000000004">
      <c r="B47" s="1"/>
      <c r="I47" s="1"/>
      <c r="J47" s="1"/>
      <c r="K47" s="1"/>
    </row>
    <row r="48" spans="2:11" ht="14.25" customHeight="1" x14ac:dyDescent="0.55000000000000004">
      <c r="B48" s="1"/>
      <c r="I48" s="1"/>
      <c r="J48" s="1"/>
      <c r="K48" s="1"/>
    </row>
    <row r="49" spans="2:11" ht="14.25" customHeight="1" x14ac:dyDescent="0.55000000000000004">
      <c r="B49" s="1"/>
      <c r="I49" s="1"/>
      <c r="J49" s="1"/>
      <c r="K49" s="1"/>
    </row>
    <row r="50" spans="2:11" ht="14.25" customHeight="1" x14ac:dyDescent="0.55000000000000004">
      <c r="B50" s="1"/>
      <c r="I50" s="1"/>
      <c r="J50" s="1"/>
      <c r="K50" s="1"/>
    </row>
    <row r="51" spans="2:11" ht="14.25" customHeight="1" x14ac:dyDescent="0.55000000000000004">
      <c r="B51" s="1"/>
      <c r="I51" s="1"/>
      <c r="J51" s="1"/>
      <c r="K51" s="1"/>
    </row>
    <row r="52" spans="2:11" ht="14.25" customHeight="1" x14ac:dyDescent="0.55000000000000004">
      <c r="B52" s="1"/>
      <c r="I52" s="1"/>
      <c r="J52" s="1"/>
      <c r="K52" s="1"/>
    </row>
    <row r="53" spans="2:11" ht="14.25" customHeight="1" x14ac:dyDescent="0.55000000000000004">
      <c r="B53" s="1"/>
      <c r="I53" s="1"/>
      <c r="J53" s="1"/>
      <c r="K53" s="1"/>
    </row>
    <row r="54" spans="2:11" ht="14.25" customHeight="1" x14ac:dyDescent="0.55000000000000004">
      <c r="B54" s="1"/>
      <c r="I54" s="1"/>
      <c r="J54" s="1"/>
      <c r="K54" s="1"/>
    </row>
    <row r="55" spans="2:11" ht="14.25" customHeight="1" x14ac:dyDescent="0.55000000000000004">
      <c r="B55" s="1"/>
      <c r="I55" s="1"/>
      <c r="J55" s="1"/>
      <c r="K55" s="1"/>
    </row>
    <row r="56" spans="2:11" ht="14.25" customHeight="1" x14ac:dyDescent="0.55000000000000004">
      <c r="B56" s="1"/>
      <c r="I56" s="1"/>
      <c r="J56" s="1"/>
      <c r="K56" s="1"/>
    </row>
    <row r="57" spans="2:11" ht="14.25" customHeight="1" x14ac:dyDescent="0.55000000000000004">
      <c r="B57" s="1"/>
      <c r="I57" s="1"/>
      <c r="J57" s="1"/>
      <c r="K57" s="1"/>
    </row>
    <row r="58" spans="2:11" ht="14.25" customHeight="1" x14ac:dyDescent="0.55000000000000004">
      <c r="B58" s="1"/>
      <c r="I58" s="1"/>
      <c r="J58" s="1"/>
      <c r="K58" s="1"/>
    </row>
    <row r="59" spans="2:11" ht="14.25" customHeight="1" x14ac:dyDescent="0.55000000000000004">
      <c r="B59" s="1"/>
      <c r="I59" s="1"/>
      <c r="J59" s="1"/>
      <c r="K59" s="1"/>
    </row>
    <row r="60" spans="2:11" ht="14.25" customHeight="1" x14ac:dyDescent="0.55000000000000004">
      <c r="B60" s="1"/>
      <c r="I60" s="1"/>
      <c r="J60" s="1"/>
      <c r="K60" s="1"/>
    </row>
    <row r="61" spans="2:11" ht="14.25" customHeight="1" x14ac:dyDescent="0.55000000000000004">
      <c r="B61" s="1"/>
      <c r="I61" s="1"/>
      <c r="J61" s="1"/>
      <c r="K61" s="1"/>
    </row>
    <row r="62" spans="2:11" ht="14.25" customHeight="1" x14ac:dyDescent="0.55000000000000004">
      <c r="B62" s="1"/>
      <c r="I62" s="1"/>
      <c r="J62" s="1"/>
      <c r="K62" s="1"/>
    </row>
    <row r="63" spans="2:11" ht="14.25" customHeight="1" x14ac:dyDescent="0.55000000000000004">
      <c r="B63" s="1"/>
      <c r="I63" s="1"/>
      <c r="J63" s="1"/>
      <c r="K63" s="1"/>
    </row>
    <row r="64" spans="2:11" ht="14.25" customHeight="1" x14ac:dyDescent="0.55000000000000004">
      <c r="B64" s="1"/>
      <c r="I64" s="1"/>
      <c r="J64" s="1"/>
      <c r="K64" s="1"/>
    </row>
    <row r="65" spans="2:11" ht="14.25" customHeight="1" x14ac:dyDescent="0.55000000000000004">
      <c r="B65" s="1"/>
      <c r="I65" s="1"/>
      <c r="J65" s="1"/>
      <c r="K65" s="1"/>
    </row>
    <row r="66" spans="2:11" ht="14.25" customHeight="1" x14ac:dyDescent="0.55000000000000004">
      <c r="B66" s="1"/>
      <c r="I66" s="1"/>
      <c r="J66" s="1"/>
      <c r="K66" s="1"/>
    </row>
    <row r="67" spans="2:11" ht="14.25" customHeight="1" x14ac:dyDescent="0.55000000000000004">
      <c r="B67" s="1"/>
      <c r="I67" s="1"/>
      <c r="J67" s="1"/>
      <c r="K67" s="1"/>
    </row>
    <row r="68" spans="2:11" ht="14.25" customHeight="1" x14ac:dyDescent="0.55000000000000004">
      <c r="B68" s="1"/>
      <c r="I68" s="1"/>
      <c r="J68" s="1"/>
      <c r="K68" s="1"/>
    </row>
    <row r="69" spans="2:11" ht="14.25" customHeight="1" x14ac:dyDescent="0.55000000000000004">
      <c r="B69" s="1"/>
      <c r="I69" s="1"/>
      <c r="J69" s="1"/>
      <c r="K69" s="1"/>
    </row>
    <row r="70" spans="2:11" ht="14.25" customHeight="1" x14ac:dyDescent="0.55000000000000004">
      <c r="B70" s="1"/>
      <c r="I70" s="1"/>
      <c r="J70" s="1"/>
      <c r="K70" s="1"/>
    </row>
    <row r="71" spans="2:11" ht="14.25" customHeight="1" x14ac:dyDescent="0.55000000000000004">
      <c r="B71" s="1"/>
      <c r="I71" s="1"/>
      <c r="J71" s="1"/>
      <c r="K71" s="1"/>
    </row>
    <row r="72" spans="2:11" ht="14.25" customHeight="1" x14ac:dyDescent="0.55000000000000004">
      <c r="B72" s="1"/>
      <c r="I72" s="1"/>
      <c r="J72" s="1"/>
      <c r="K72" s="1"/>
    </row>
    <row r="73" spans="2:11" ht="14.25" customHeight="1" x14ac:dyDescent="0.55000000000000004">
      <c r="B73" s="1"/>
      <c r="I73" s="1"/>
      <c r="J73" s="1"/>
      <c r="K73" s="1"/>
    </row>
    <row r="74" spans="2:11" ht="14.25" customHeight="1" x14ac:dyDescent="0.55000000000000004">
      <c r="B74" s="1"/>
      <c r="I74" s="1"/>
      <c r="J74" s="1"/>
      <c r="K74" s="1"/>
    </row>
    <row r="75" spans="2:11" ht="14.25" customHeight="1" x14ac:dyDescent="0.55000000000000004">
      <c r="B75" s="1"/>
      <c r="I75" s="1"/>
      <c r="J75" s="1"/>
      <c r="K75" s="1"/>
    </row>
    <row r="76" spans="2:11" ht="14.25" customHeight="1" x14ac:dyDescent="0.55000000000000004">
      <c r="B76" s="1"/>
      <c r="I76" s="1"/>
      <c r="J76" s="1"/>
      <c r="K76" s="1"/>
    </row>
    <row r="77" spans="2:11" ht="14.25" customHeight="1" x14ac:dyDescent="0.55000000000000004">
      <c r="B77" s="1"/>
      <c r="I77" s="1"/>
      <c r="J77" s="1"/>
      <c r="K77" s="1"/>
    </row>
    <row r="78" spans="2:11" ht="14.25" customHeight="1" x14ac:dyDescent="0.55000000000000004">
      <c r="B78" s="1"/>
      <c r="I78" s="1"/>
      <c r="J78" s="1"/>
      <c r="K78" s="1"/>
    </row>
    <row r="79" spans="2:11" ht="14.25" customHeight="1" x14ac:dyDescent="0.55000000000000004">
      <c r="B79" s="1"/>
      <c r="I79" s="1"/>
      <c r="J79" s="1"/>
      <c r="K79" s="1"/>
    </row>
    <row r="80" spans="2:11" ht="14.25" customHeight="1" x14ac:dyDescent="0.55000000000000004">
      <c r="B80" s="1"/>
      <c r="I80" s="1"/>
      <c r="J80" s="1"/>
      <c r="K80" s="1"/>
    </row>
    <row r="81" spans="2:11" ht="14.25" customHeight="1" x14ac:dyDescent="0.55000000000000004">
      <c r="B81" s="1"/>
      <c r="I81" s="1"/>
      <c r="J81" s="1"/>
      <c r="K81" s="1"/>
    </row>
    <row r="82" spans="2:11" ht="14.25" customHeight="1" x14ac:dyDescent="0.55000000000000004">
      <c r="B82" s="1"/>
      <c r="I82" s="1"/>
      <c r="J82" s="1"/>
      <c r="K82" s="1"/>
    </row>
    <row r="83" spans="2:11" ht="14.25" customHeight="1" x14ac:dyDescent="0.55000000000000004">
      <c r="B83" s="1"/>
      <c r="I83" s="1"/>
      <c r="J83" s="1"/>
      <c r="K83" s="1"/>
    </row>
    <row r="84" spans="2:11" ht="14.25" customHeight="1" x14ac:dyDescent="0.55000000000000004">
      <c r="B84" s="1"/>
      <c r="I84" s="1"/>
      <c r="J84" s="1"/>
      <c r="K84" s="1"/>
    </row>
    <row r="85" spans="2:11" ht="14.25" customHeight="1" x14ac:dyDescent="0.55000000000000004">
      <c r="B85" s="1"/>
      <c r="I85" s="1"/>
      <c r="J85" s="1"/>
      <c r="K85" s="1"/>
    </row>
    <row r="86" spans="2:11" ht="14.25" customHeight="1" x14ac:dyDescent="0.55000000000000004">
      <c r="B86" s="1"/>
      <c r="I86" s="1"/>
      <c r="J86" s="1"/>
      <c r="K86" s="1"/>
    </row>
    <row r="87" spans="2:11" ht="14.25" customHeight="1" x14ac:dyDescent="0.55000000000000004">
      <c r="B87" s="1"/>
      <c r="I87" s="1"/>
      <c r="J87" s="1"/>
      <c r="K87" s="1"/>
    </row>
    <row r="88" spans="2:11" ht="14.25" customHeight="1" x14ac:dyDescent="0.55000000000000004">
      <c r="B88" s="1"/>
      <c r="I88" s="1"/>
      <c r="J88" s="1"/>
      <c r="K88" s="1"/>
    </row>
    <row r="89" spans="2:11" ht="14.25" customHeight="1" x14ac:dyDescent="0.55000000000000004">
      <c r="B89" s="1"/>
      <c r="I89" s="1"/>
      <c r="J89" s="1"/>
      <c r="K89" s="1"/>
    </row>
    <row r="90" spans="2:11" ht="14.25" customHeight="1" x14ac:dyDescent="0.55000000000000004">
      <c r="B90" s="1"/>
      <c r="I90" s="1"/>
      <c r="J90" s="1"/>
      <c r="K90" s="1"/>
    </row>
    <row r="91" spans="2:11" ht="14.25" customHeight="1" x14ac:dyDescent="0.55000000000000004">
      <c r="B91" s="1"/>
      <c r="I91" s="1"/>
      <c r="J91" s="1"/>
      <c r="K91" s="1"/>
    </row>
    <row r="92" spans="2:11" ht="14.25" customHeight="1" x14ac:dyDescent="0.55000000000000004">
      <c r="B92" s="1"/>
      <c r="I92" s="1"/>
      <c r="J92" s="1"/>
      <c r="K92" s="1"/>
    </row>
    <row r="93" spans="2:11" ht="14.25" customHeight="1" x14ac:dyDescent="0.55000000000000004">
      <c r="B93" s="1"/>
      <c r="I93" s="1"/>
      <c r="J93" s="1"/>
      <c r="K93" s="1"/>
    </row>
    <row r="94" spans="2:11" ht="14.25" customHeight="1" x14ac:dyDescent="0.55000000000000004">
      <c r="B94" s="1"/>
      <c r="I94" s="1"/>
      <c r="J94" s="1"/>
      <c r="K94" s="1"/>
    </row>
    <row r="95" spans="2:11" ht="14.25" customHeight="1" x14ac:dyDescent="0.55000000000000004">
      <c r="B95" s="1"/>
      <c r="I95" s="1"/>
      <c r="J95" s="1"/>
      <c r="K95" s="1"/>
    </row>
    <row r="96" spans="2:11" ht="14.25" customHeight="1" x14ac:dyDescent="0.55000000000000004">
      <c r="B96" s="1"/>
      <c r="I96" s="1"/>
      <c r="J96" s="1"/>
      <c r="K96" s="1"/>
    </row>
    <row r="97" spans="2:11" ht="14.25" customHeight="1" x14ac:dyDescent="0.55000000000000004">
      <c r="B97" s="1"/>
      <c r="I97" s="1"/>
      <c r="J97" s="1"/>
      <c r="K97" s="1"/>
    </row>
    <row r="98" spans="2:11" ht="14.25" customHeight="1" x14ac:dyDescent="0.55000000000000004">
      <c r="B98" s="1"/>
      <c r="I98" s="1"/>
      <c r="J98" s="1"/>
      <c r="K98" s="1"/>
    </row>
    <row r="99" spans="2:11" ht="14.25" customHeight="1" x14ac:dyDescent="0.55000000000000004">
      <c r="B99" s="1"/>
      <c r="I99" s="1"/>
      <c r="J99" s="1"/>
      <c r="K99" s="1"/>
    </row>
    <row r="100" spans="2:11" ht="14.25" customHeight="1" x14ac:dyDescent="0.55000000000000004">
      <c r="B100" s="1"/>
      <c r="I100" s="1"/>
      <c r="J100" s="1"/>
      <c r="K100" s="1"/>
    </row>
    <row r="101" spans="2:11" ht="14.25" customHeight="1" x14ac:dyDescent="0.55000000000000004">
      <c r="B101" s="1"/>
      <c r="I101" s="1"/>
      <c r="J101" s="1"/>
      <c r="K101" s="1"/>
    </row>
    <row r="102" spans="2:11" ht="14.25" customHeight="1" x14ac:dyDescent="0.55000000000000004">
      <c r="B102" s="1"/>
      <c r="I102" s="1"/>
      <c r="J102" s="1"/>
      <c r="K102" s="1"/>
    </row>
    <row r="103" spans="2:11" ht="14.25" customHeight="1" x14ac:dyDescent="0.55000000000000004">
      <c r="B103" s="1"/>
      <c r="I103" s="1"/>
      <c r="J103" s="1"/>
      <c r="K103" s="1"/>
    </row>
    <row r="104" spans="2:11" ht="14.25" customHeight="1" x14ac:dyDescent="0.55000000000000004">
      <c r="B104" s="1"/>
      <c r="I104" s="1"/>
      <c r="J104" s="1"/>
      <c r="K104" s="1"/>
    </row>
    <row r="105" spans="2:11" ht="14.25" customHeight="1" x14ac:dyDescent="0.55000000000000004">
      <c r="B105" s="1"/>
      <c r="I105" s="1"/>
      <c r="J105" s="1"/>
      <c r="K105" s="1"/>
    </row>
    <row r="106" spans="2:11" ht="14.25" customHeight="1" x14ac:dyDescent="0.55000000000000004">
      <c r="B106" s="1"/>
      <c r="I106" s="1"/>
      <c r="J106" s="1"/>
      <c r="K106" s="1"/>
    </row>
    <row r="107" spans="2:11" ht="14.25" customHeight="1" x14ac:dyDescent="0.55000000000000004">
      <c r="B107" s="1"/>
      <c r="I107" s="1"/>
      <c r="J107" s="1"/>
      <c r="K107" s="1"/>
    </row>
    <row r="108" spans="2:11" ht="14.25" customHeight="1" x14ac:dyDescent="0.55000000000000004">
      <c r="B108" s="1"/>
      <c r="I108" s="1"/>
      <c r="J108" s="1"/>
      <c r="K108" s="1"/>
    </row>
    <row r="109" spans="2:11" ht="14.25" customHeight="1" x14ac:dyDescent="0.55000000000000004">
      <c r="B109" s="1"/>
      <c r="I109" s="1"/>
      <c r="J109" s="1"/>
      <c r="K109" s="1"/>
    </row>
    <row r="110" spans="2:11" ht="14.25" customHeight="1" x14ac:dyDescent="0.55000000000000004">
      <c r="B110" s="1"/>
      <c r="I110" s="1"/>
      <c r="J110" s="1"/>
      <c r="K110" s="1"/>
    </row>
    <row r="111" spans="2:11" ht="14.25" customHeight="1" x14ac:dyDescent="0.55000000000000004">
      <c r="B111" s="1"/>
      <c r="I111" s="1"/>
      <c r="J111" s="1"/>
      <c r="K111" s="1"/>
    </row>
    <row r="112" spans="2:11" ht="14.25" customHeight="1" x14ac:dyDescent="0.55000000000000004">
      <c r="B112" s="1"/>
      <c r="I112" s="1"/>
      <c r="J112" s="1"/>
      <c r="K112" s="1"/>
    </row>
    <row r="113" spans="2:11" ht="14.25" customHeight="1" x14ac:dyDescent="0.55000000000000004">
      <c r="B113" s="1"/>
      <c r="I113" s="1"/>
      <c r="J113" s="1"/>
      <c r="K113" s="1"/>
    </row>
    <row r="114" spans="2:11" ht="14.25" customHeight="1" x14ac:dyDescent="0.55000000000000004">
      <c r="B114" s="1"/>
      <c r="I114" s="1"/>
      <c r="J114" s="1"/>
      <c r="K114" s="1"/>
    </row>
    <row r="115" spans="2:11" ht="14.25" customHeight="1" x14ac:dyDescent="0.55000000000000004">
      <c r="B115" s="1"/>
      <c r="I115" s="1"/>
      <c r="J115" s="1"/>
      <c r="K115" s="1"/>
    </row>
    <row r="116" spans="2:11" ht="14.25" customHeight="1" x14ac:dyDescent="0.55000000000000004">
      <c r="B116" s="1"/>
      <c r="I116" s="1"/>
      <c r="J116" s="1"/>
      <c r="K116" s="1"/>
    </row>
    <row r="117" spans="2:11" ht="14.25" customHeight="1" x14ac:dyDescent="0.55000000000000004">
      <c r="B117" s="1"/>
      <c r="I117" s="1"/>
      <c r="J117" s="1"/>
      <c r="K117" s="1"/>
    </row>
    <row r="118" spans="2:11" ht="14.25" customHeight="1" x14ac:dyDescent="0.55000000000000004">
      <c r="B118" s="1"/>
      <c r="I118" s="1"/>
      <c r="J118" s="1"/>
      <c r="K118" s="1"/>
    </row>
    <row r="119" spans="2:11" ht="14.25" customHeight="1" x14ac:dyDescent="0.55000000000000004">
      <c r="B119" s="1"/>
      <c r="I119" s="1"/>
      <c r="J119" s="1"/>
      <c r="K119" s="1"/>
    </row>
    <row r="120" spans="2:11" ht="14.25" customHeight="1" x14ac:dyDescent="0.55000000000000004">
      <c r="B120" s="1"/>
      <c r="I120" s="1"/>
      <c r="J120" s="1"/>
      <c r="K120" s="1"/>
    </row>
    <row r="121" spans="2:11" ht="14.25" customHeight="1" x14ac:dyDescent="0.55000000000000004">
      <c r="B121" s="1"/>
      <c r="I121" s="1"/>
      <c r="J121" s="1"/>
      <c r="K121" s="1"/>
    </row>
    <row r="122" spans="2:11" ht="14.25" customHeight="1" x14ac:dyDescent="0.55000000000000004">
      <c r="B122" s="1"/>
      <c r="I122" s="1"/>
      <c r="J122" s="1"/>
      <c r="K122" s="1"/>
    </row>
    <row r="123" spans="2:11" ht="14.25" customHeight="1" x14ac:dyDescent="0.55000000000000004">
      <c r="B123" s="1"/>
      <c r="I123" s="1"/>
      <c r="J123" s="1"/>
      <c r="K123" s="1"/>
    </row>
    <row r="124" spans="2:11" ht="14.25" customHeight="1" x14ac:dyDescent="0.55000000000000004">
      <c r="B124" s="1"/>
      <c r="I124" s="1"/>
      <c r="J124" s="1"/>
      <c r="K124" s="1"/>
    </row>
    <row r="125" spans="2:11" ht="14.25" customHeight="1" x14ac:dyDescent="0.55000000000000004">
      <c r="B125" s="1"/>
      <c r="I125" s="1"/>
      <c r="J125" s="1"/>
      <c r="K125" s="1"/>
    </row>
    <row r="126" spans="2:11" ht="14.25" customHeight="1" x14ac:dyDescent="0.55000000000000004">
      <c r="B126" s="1"/>
      <c r="I126" s="1"/>
      <c r="J126" s="1"/>
      <c r="K126" s="1"/>
    </row>
    <row r="127" spans="2:11" ht="14.25" customHeight="1" x14ac:dyDescent="0.55000000000000004">
      <c r="B127" s="1"/>
      <c r="I127" s="1"/>
      <c r="J127" s="1"/>
      <c r="K127" s="1"/>
    </row>
    <row r="128" spans="2:11" ht="14.25" customHeight="1" x14ac:dyDescent="0.55000000000000004">
      <c r="B128" s="1"/>
      <c r="I128" s="1"/>
      <c r="J128" s="1"/>
      <c r="K128" s="1"/>
    </row>
    <row r="129" spans="2:11" ht="14.25" customHeight="1" x14ac:dyDescent="0.55000000000000004">
      <c r="B129" s="1"/>
      <c r="I129" s="1"/>
      <c r="J129" s="1"/>
      <c r="K129" s="1"/>
    </row>
    <row r="130" spans="2:11" ht="14.25" customHeight="1" x14ac:dyDescent="0.55000000000000004">
      <c r="B130" s="1"/>
      <c r="I130" s="1"/>
      <c r="J130" s="1"/>
      <c r="K130" s="1"/>
    </row>
    <row r="131" spans="2:11" ht="14.25" customHeight="1" x14ac:dyDescent="0.55000000000000004">
      <c r="B131" s="1"/>
      <c r="I131" s="1"/>
      <c r="J131" s="1"/>
      <c r="K131" s="1"/>
    </row>
    <row r="132" spans="2:11" ht="14.25" customHeight="1" x14ac:dyDescent="0.55000000000000004">
      <c r="B132" s="1"/>
      <c r="I132" s="1"/>
      <c r="J132" s="1"/>
      <c r="K132" s="1"/>
    </row>
    <row r="133" spans="2:11" ht="14.25" customHeight="1" x14ac:dyDescent="0.55000000000000004">
      <c r="B133" s="1"/>
      <c r="I133" s="1"/>
      <c r="J133" s="1"/>
      <c r="K133" s="1"/>
    </row>
    <row r="134" spans="2:11" ht="14.25" customHeight="1" x14ac:dyDescent="0.55000000000000004">
      <c r="B134" s="1"/>
      <c r="I134" s="1"/>
      <c r="J134" s="1"/>
      <c r="K134" s="1"/>
    </row>
    <row r="135" spans="2:11" ht="14.25" customHeight="1" x14ac:dyDescent="0.55000000000000004">
      <c r="B135" s="1"/>
      <c r="I135" s="1"/>
      <c r="J135" s="1"/>
      <c r="K135" s="1"/>
    </row>
    <row r="136" spans="2:11" ht="14.25" customHeight="1" x14ac:dyDescent="0.55000000000000004">
      <c r="B136" s="1"/>
      <c r="I136" s="1"/>
      <c r="J136" s="1"/>
      <c r="K136" s="1"/>
    </row>
    <row r="137" spans="2:11" ht="14.25" customHeight="1" x14ac:dyDescent="0.55000000000000004">
      <c r="B137" s="1"/>
      <c r="I137" s="1"/>
      <c r="J137" s="1"/>
      <c r="K137" s="1"/>
    </row>
    <row r="138" spans="2:11" ht="14.25" customHeight="1" x14ac:dyDescent="0.55000000000000004">
      <c r="B138" s="1"/>
      <c r="I138" s="1"/>
      <c r="J138" s="1"/>
      <c r="K138" s="1"/>
    </row>
    <row r="139" spans="2:11" ht="14.25" customHeight="1" x14ac:dyDescent="0.55000000000000004">
      <c r="B139" s="1"/>
      <c r="I139" s="1"/>
      <c r="J139" s="1"/>
      <c r="K139" s="1"/>
    </row>
    <row r="140" spans="2:11" ht="14.25" customHeight="1" x14ac:dyDescent="0.55000000000000004">
      <c r="B140" s="1"/>
      <c r="I140" s="1"/>
      <c r="J140" s="1"/>
      <c r="K140" s="1"/>
    </row>
    <row r="141" spans="2:11" ht="14.25" customHeight="1" x14ac:dyDescent="0.55000000000000004">
      <c r="B141" s="1"/>
      <c r="I141" s="1"/>
      <c r="J141" s="1"/>
      <c r="K141" s="1"/>
    </row>
    <row r="142" spans="2:11" ht="14.25" customHeight="1" x14ac:dyDescent="0.55000000000000004">
      <c r="B142" s="1"/>
      <c r="I142" s="1"/>
      <c r="J142" s="1"/>
      <c r="K142" s="1"/>
    </row>
    <row r="143" spans="2:11" ht="14.25" customHeight="1" x14ac:dyDescent="0.55000000000000004">
      <c r="B143" s="1"/>
      <c r="I143" s="1"/>
      <c r="J143" s="1"/>
      <c r="K143" s="1"/>
    </row>
    <row r="144" spans="2:11" ht="14.25" customHeight="1" x14ac:dyDescent="0.55000000000000004">
      <c r="B144" s="1"/>
      <c r="I144" s="1"/>
      <c r="J144" s="1"/>
      <c r="K144" s="1"/>
    </row>
    <row r="145" spans="2:11" ht="14.25" customHeight="1" x14ac:dyDescent="0.55000000000000004">
      <c r="B145" s="1"/>
      <c r="I145" s="1"/>
      <c r="J145" s="1"/>
      <c r="K145" s="1"/>
    </row>
    <row r="146" spans="2:11" ht="14.25" customHeight="1" x14ac:dyDescent="0.55000000000000004">
      <c r="B146" s="1"/>
      <c r="I146" s="1"/>
      <c r="J146" s="1"/>
      <c r="K146" s="1"/>
    </row>
    <row r="147" spans="2:11" ht="14.25" customHeight="1" x14ac:dyDescent="0.55000000000000004">
      <c r="B147" s="1"/>
      <c r="I147" s="1"/>
      <c r="J147" s="1"/>
      <c r="K147" s="1"/>
    </row>
    <row r="148" spans="2:11" ht="14.25" customHeight="1" x14ac:dyDescent="0.55000000000000004">
      <c r="B148" s="1"/>
      <c r="I148" s="1"/>
      <c r="J148" s="1"/>
      <c r="K148" s="1"/>
    </row>
    <row r="149" spans="2:11" ht="14.25" customHeight="1" x14ac:dyDescent="0.55000000000000004">
      <c r="B149" s="1"/>
      <c r="I149" s="1"/>
      <c r="J149" s="1"/>
      <c r="K149" s="1"/>
    </row>
    <row r="150" spans="2:11" ht="14.25" customHeight="1" x14ac:dyDescent="0.55000000000000004">
      <c r="B150" s="1"/>
      <c r="I150" s="1"/>
      <c r="J150" s="1"/>
      <c r="K150" s="1"/>
    </row>
    <row r="151" spans="2:11" ht="14.25" customHeight="1" x14ac:dyDescent="0.55000000000000004">
      <c r="B151" s="1"/>
      <c r="I151" s="1"/>
      <c r="J151" s="1"/>
      <c r="K151" s="1"/>
    </row>
    <row r="152" spans="2:11" ht="14.25" customHeight="1" x14ac:dyDescent="0.55000000000000004">
      <c r="B152" s="1"/>
      <c r="I152" s="1"/>
      <c r="J152" s="1"/>
      <c r="K152" s="1"/>
    </row>
    <row r="153" spans="2:11" ht="14.25" customHeight="1" x14ac:dyDescent="0.55000000000000004">
      <c r="B153" s="1"/>
      <c r="I153" s="1"/>
      <c r="J153" s="1"/>
      <c r="K153" s="1"/>
    </row>
    <row r="154" spans="2:11" ht="14.25" customHeight="1" x14ac:dyDescent="0.55000000000000004">
      <c r="B154" s="1"/>
      <c r="I154" s="1"/>
      <c r="J154" s="1"/>
      <c r="K154" s="1"/>
    </row>
    <row r="155" spans="2:11" ht="14.25" customHeight="1" x14ac:dyDescent="0.55000000000000004">
      <c r="B155" s="1"/>
      <c r="I155" s="1"/>
      <c r="J155" s="1"/>
      <c r="K155" s="1"/>
    </row>
    <row r="156" spans="2:11" ht="14.25" customHeight="1" x14ac:dyDescent="0.55000000000000004">
      <c r="B156" s="1"/>
      <c r="I156" s="1"/>
      <c r="J156" s="1"/>
      <c r="K156" s="1"/>
    </row>
    <row r="157" spans="2:11" ht="14.25" customHeight="1" x14ac:dyDescent="0.55000000000000004">
      <c r="B157" s="1"/>
      <c r="I157" s="1"/>
      <c r="J157" s="1"/>
      <c r="K157" s="1"/>
    </row>
    <row r="158" spans="2:11" ht="14.25" customHeight="1" x14ac:dyDescent="0.55000000000000004">
      <c r="B158" s="1"/>
      <c r="I158" s="1"/>
      <c r="J158" s="1"/>
      <c r="K158" s="1"/>
    </row>
    <row r="159" spans="2:11" ht="14.25" customHeight="1" x14ac:dyDescent="0.55000000000000004">
      <c r="B159" s="1"/>
      <c r="I159" s="1"/>
      <c r="J159" s="1"/>
      <c r="K159" s="1"/>
    </row>
    <row r="160" spans="2:11" ht="14.25" customHeight="1" x14ac:dyDescent="0.55000000000000004">
      <c r="B160" s="1"/>
      <c r="I160" s="1"/>
      <c r="J160" s="1"/>
      <c r="K160" s="1"/>
    </row>
    <row r="161" spans="2:11" ht="14.25" customHeight="1" x14ac:dyDescent="0.55000000000000004">
      <c r="B161" s="1"/>
      <c r="I161" s="1"/>
      <c r="J161" s="1"/>
      <c r="K161" s="1"/>
    </row>
    <row r="162" spans="2:11" ht="14.25" customHeight="1" x14ac:dyDescent="0.55000000000000004">
      <c r="B162" s="1"/>
      <c r="I162" s="1"/>
      <c r="J162" s="1"/>
      <c r="K162" s="1"/>
    </row>
    <row r="163" spans="2:11" ht="14.25" customHeight="1" x14ac:dyDescent="0.55000000000000004">
      <c r="B163" s="1"/>
      <c r="I163" s="1"/>
      <c r="J163" s="1"/>
      <c r="K163" s="1"/>
    </row>
    <row r="164" spans="2:11" ht="14.25" customHeight="1" x14ac:dyDescent="0.55000000000000004">
      <c r="B164" s="1"/>
      <c r="I164" s="1"/>
      <c r="J164" s="1"/>
      <c r="K164" s="1"/>
    </row>
    <row r="165" spans="2:11" ht="14.25" customHeight="1" x14ac:dyDescent="0.55000000000000004">
      <c r="B165" s="1"/>
      <c r="I165" s="1"/>
      <c r="J165" s="1"/>
      <c r="K165" s="1"/>
    </row>
    <row r="166" spans="2:11" ht="14.25" customHeight="1" x14ac:dyDescent="0.55000000000000004">
      <c r="B166" s="1"/>
      <c r="I166" s="1"/>
      <c r="J166" s="1"/>
      <c r="K166" s="1"/>
    </row>
    <row r="167" spans="2:11" ht="14.25" customHeight="1" x14ac:dyDescent="0.55000000000000004">
      <c r="B167" s="1"/>
      <c r="I167" s="1"/>
      <c r="J167" s="1"/>
      <c r="K167" s="1"/>
    </row>
    <row r="168" spans="2:11" ht="14.25" customHeight="1" x14ac:dyDescent="0.55000000000000004">
      <c r="B168" s="1"/>
      <c r="I168" s="1"/>
      <c r="J168" s="1"/>
      <c r="K168" s="1"/>
    </row>
    <row r="169" spans="2:11" ht="14.25" customHeight="1" x14ac:dyDescent="0.55000000000000004">
      <c r="B169" s="1"/>
      <c r="I169" s="1"/>
      <c r="J169" s="1"/>
      <c r="K169" s="1"/>
    </row>
    <row r="170" spans="2:11" ht="14.25" customHeight="1" x14ac:dyDescent="0.55000000000000004">
      <c r="B170" s="1"/>
      <c r="I170" s="1"/>
      <c r="J170" s="1"/>
      <c r="K170" s="1"/>
    </row>
    <row r="171" spans="2:11" ht="14.25" customHeight="1" x14ac:dyDescent="0.55000000000000004">
      <c r="B171" s="1"/>
      <c r="I171" s="1"/>
      <c r="J171" s="1"/>
      <c r="K171" s="1"/>
    </row>
    <row r="172" spans="2:11" ht="14.25" customHeight="1" x14ac:dyDescent="0.55000000000000004">
      <c r="B172" s="1"/>
      <c r="I172" s="1"/>
      <c r="J172" s="1"/>
      <c r="K172" s="1"/>
    </row>
    <row r="173" spans="2:11" ht="14.25" customHeight="1" x14ac:dyDescent="0.55000000000000004">
      <c r="B173" s="1"/>
      <c r="I173" s="1"/>
      <c r="J173" s="1"/>
      <c r="K173" s="1"/>
    </row>
    <row r="174" spans="2:11" ht="14.25" customHeight="1" x14ac:dyDescent="0.55000000000000004">
      <c r="B174" s="1"/>
      <c r="I174" s="1"/>
      <c r="J174" s="1"/>
      <c r="K174" s="1"/>
    </row>
    <row r="175" spans="2:11" ht="14.25" customHeight="1" x14ac:dyDescent="0.55000000000000004">
      <c r="B175" s="1"/>
      <c r="I175" s="1"/>
      <c r="J175" s="1"/>
      <c r="K175" s="1"/>
    </row>
    <row r="176" spans="2:11" ht="14.25" customHeight="1" x14ac:dyDescent="0.55000000000000004">
      <c r="B176" s="1"/>
      <c r="I176" s="1"/>
      <c r="J176" s="1"/>
      <c r="K176" s="1"/>
    </row>
    <row r="177" spans="2:11" ht="14.25" customHeight="1" x14ac:dyDescent="0.55000000000000004">
      <c r="B177" s="1"/>
      <c r="I177" s="1"/>
      <c r="J177" s="1"/>
      <c r="K177" s="1"/>
    </row>
    <row r="178" spans="2:11" ht="14.25" customHeight="1" x14ac:dyDescent="0.55000000000000004">
      <c r="B178" s="1"/>
      <c r="I178" s="1"/>
      <c r="J178" s="1"/>
      <c r="K178" s="1"/>
    </row>
    <row r="179" spans="2:11" ht="14.25" customHeight="1" x14ac:dyDescent="0.55000000000000004">
      <c r="B179" s="1"/>
      <c r="I179" s="1"/>
      <c r="J179" s="1"/>
      <c r="K179" s="1"/>
    </row>
    <row r="180" spans="2:11" ht="14.25" customHeight="1" x14ac:dyDescent="0.55000000000000004">
      <c r="B180" s="1"/>
      <c r="I180" s="1"/>
      <c r="J180" s="1"/>
      <c r="K180" s="1"/>
    </row>
    <row r="181" spans="2:11" ht="14.25" customHeight="1" x14ac:dyDescent="0.55000000000000004">
      <c r="B181" s="1"/>
      <c r="I181" s="1"/>
      <c r="J181" s="1"/>
      <c r="K181" s="1"/>
    </row>
    <row r="182" spans="2:11" ht="14.25" customHeight="1" x14ac:dyDescent="0.55000000000000004">
      <c r="B182" s="1"/>
      <c r="I182" s="1"/>
      <c r="J182" s="1"/>
      <c r="K182" s="1"/>
    </row>
    <row r="183" spans="2:11" ht="14.25" customHeight="1" x14ac:dyDescent="0.55000000000000004">
      <c r="B183" s="1"/>
      <c r="I183" s="1"/>
      <c r="J183" s="1"/>
      <c r="K183" s="1"/>
    </row>
    <row r="184" spans="2:11" ht="14.25" customHeight="1" x14ac:dyDescent="0.55000000000000004">
      <c r="B184" s="1"/>
      <c r="I184" s="1"/>
      <c r="J184" s="1"/>
      <c r="K184" s="1"/>
    </row>
    <row r="185" spans="2:11" ht="14.25" customHeight="1" x14ac:dyDescent="0.55000000000000004">
      <c r="B185" s="1"/>
      <c r="I185" s="1"/>
      <c r="J185" s="1"/>
      <c r="K185" s="1"/>
    </row>
    <row r="186" spans="2:11" ht="14.25" customHeight="1" x14ac:dyDescent="0.55000000000000004">
      <c r="B186" s="1"/>
      <c r="I186" s="1"/>
      <c r="J186" s="1"/>
      <c r="K186" s="1"/>
    </row>
    <row r="187" spans="2:11" ht="14.25" customHeight="1" x14ac:dyDescent="0.55000000000000004">
      <c r="B187" s="1"/>
      <c r="I187" s="1"/>
      <c r="J187" s="1"/>
      <c r="K187" s="1"/>
    </row>
    <row r="188" spans="2:11" ht="14.25" customHeight="1" x14ac:dyDescent="0.55000000000000004">
      <c r="B188" s="1"/>
      <c r="I188" s="1"/>
      <c r="J188" s="1"/>
      <c r="K188" s="1"/>
    </row>
    <row r="189" spans="2:11" ht="14.25" customHeight="1" x14ac:dyDescent="0.55000000000000004">
      <c r="B189" s="1"/>
      <c r="I189" s="1"/>
      <c r="J189" s="1"/>
      <c r="K189" s="1"/>
    </row>
    <row r="190" spans="2:11" ht="14.25" customHeight="1" x14ac:dyDescent="0.55000000000000004">
      <c r="B190" s="1"/>
      <c r="I190" s="1"/>
      <c r="J190" s="1"/>
      <c r="K190" s="1"/>
    </row>
    <row r="191" spans="2:11" ht="14.25" customHeight="1" x14ac:dyDescent="0.55000000000000004">
      <c r="B191" s="1"/>
      <c r="I191" s="1"/>
      <c r="J191" s="1"/>
      <c r="K191" s="1"/>
    </row>
    <row r="192" spans="2:11" ht="14.25" customHeight="1" x14ac:dyDescent="0.55000000000000004">
      <c r="B192" s="1"/>
      <c r="I192" s="1"/>
      <c r="J192" s="1"/>
      <c r="K192" s="1"/>
    </row>
    <row r="193" spans="2:11" ht="14.25" customHeight="1" x14ac:dyDescent="0.55000000000000004">
      <c r="B193" s="1"/>
      <c r="I193" s="1"/>
      <c r="J193" s="1"/>
      <c r="K193" s="1"/>
    </row>
    <row r="194" spans="2:11" ht="14.25" customHeight="1" x14ac:dyDescent="0.55000000000000004">
      <c r="B194" s="1"/>
      <c r="I194" s="1"/>
      <c r="J194" s="1"/>
      <c r="K194" s="1"/>
    </row>
    <row r="195" spans="2:11" ht="14.25" customHeight="1" x14ac:dyDescent="0.55000000000000004">
      <c r="B195" s="1"/>
      <c r="I195" s="1"/>
      <c r="J195" s="1"/>
      <c r="K195" s="1"/>
    </row>
    <row r="196" spans="2:11" ht="14.25" customHeight="1" x14ac:dyDescent="0.55000000000000004">
      <c r="B196" s="1"/>
      <c r="I196" s="1"/>
      <c r="J196" s="1"/>
      <c r="K196" s="1"/>
    </row>
    <row r="197" spans="2:11" ht="14.25" customHeight="1" x14ac:dyDescent="0.55000000000000004">
      <c r="B197" s="1"/>
      <c r="I197" s="1"/>
      <c r="J197" s="1"/>
      <c r="K197" s="1"/>
    </row>
    <row r="198" spans="2:11" ht="14.25" customHeight="1" x14ac:dyDescent="0.55000000000000004">
      <c r="B198" s="1"/>
      <c r="I198" s="1"/>
      <c r="J198" s="1"/>
      <c r="K198" s="1"/>
    </row>
    <row r="199" spans="2:11" ht="14.25" customHeight="1" x14ac:dyDescent="0.55000000000000004">
      <c r="B199" s="1"/>
      <c r="I199" s="1"/>
      <c r="J199" s="1"/>
      <c r="K199" s="1"/>
    </row>
    <row r="200" spans="2:11" ht="14.25" customHeight="1" x14ac:dyDescent="0.55000000000000004">
      <c r="B200" s="1"/>
      <c r="I200" s="1"/>
      <c r="J200" s="1"/>
      <c r="K200" s="1"/>
    </row>
    <row r="201" spans="2:11" ht="14.25" customHeight="1" x14ac:dyDescent="0.55000000000000004">
      <c r="B201" s="1"/>
      <c r="I201" s="1"/>
      <c r="J201" s="1"/>
      <c r="K201" s="1"/>
    </row>
    <row r="202" spans="2:11" ht="14.25" customHeight="1" x14ac:dyDescent="0.55000000000000004">
      <c r="B202" s="1"/>
      <c r="I202" s="1"/>
      <c r="J202" s="1"/>
      <c r="K202" s="1"/>
    </row>
    <row r="203" spans="2:11" ht="14.25" customHeight="1" x14ac:dyDescent="0.55000000000000004">
      <c r="B203" s="1"/>
      <c r="I203" s="1"/>
      <c r="J203" s="1"/>
      <c r="K203" s="1"/>
    </row>
    <row r="204" spans="2:11" ht="14.25" customHeight="1" x14ac:dyDescent="0.55000000000000004">
      <c r="B204" s="1"/>
      <c r="I204" s="1"/>
      <c r="J204" s="1"/>
      <c r="K204" s="1"/>
    </row>
    <row r="205" spans="2:11" ht="14.25" customHeight="1" x14ac:dyDescent="0.55000000000000004">
      <c r="B205" s="1"/>
      <c r="I205" s="1"/>
      <c r="J205" s="1"/>
      <c r="K205" s="1"/>
    </row>
    <row r="206" spans="2:11" ht="14.25" customHeight="1" x14ac:dyDescent="0.55000000000000004">
      <c r="B206" s="1"/>
      <c r="I206" s="1"/>
      <c r="J206" s="1"/>
      <c r="K206" s="1"/>
    </row>
    <row r="207" spans="2:11" ht="14.25" customHeight="1" x14ac:dyDescent="0.55000000000000004">
      <c r="B207" s="1"/>
      <c r="I207" s="1"/>
      <c r="J207" s="1"/>
      <c r="K207" s="1"/>
    </row>
    <row r="208" spans="2:11" ht="14.25" customHeight="1" x14ac:dyDescent="0.55000000000000004">
      <c r="B208" s="1"/>
      <c r="I208" s="1"/>
      <c r="J208" s="1"/>
      <c r="K208" s="1"/>
    </row>
    <row r="209" spans="2:11" ht="14.25" customHeight="1" x14ac:dyDescent="0.55000000000000004">
      <c r="B209" s="1"/>
      <c r="I209" s="1"/>
      <c r="J209" s="1"/>
      <c r="K209" s="1"/>
    </row>
    <row r="210" spans="2:11" ht="14.25" customHeight="1" x14ac:dyDescent="0.55000000000000004">
      <c r="B210" s="1"/>
      <c r="I210" s="1"/>
      <c r="J210" s="1"/>
      <c r="K210" s="1"/>
    </row>
    <row r="211" spans="2:11" ht="14.25" customHeight="1" x14ac:dyDescent="0.55000000000000004">
      <c r="B211" s="1"/>
      <c r="I211" s="1"/>
      <c r="J211" s="1"/>
      <c r="K211" s="1"/>
    </row>
    <row r="212" spans="2:11" ht="14.25" customHeight="1" x14ac:dyDescent="0.55000000000000004">
      <c r="B212" s="1"/>
      <c r="I212" s="1"/>
      <c r="J212" s="1"/>
      <c r="K212" s="1"/>
    </row>
    <row r="213" spans="2:11" ht="14.25" customHeight="1" x14ac:dyDescent="0.55000000000000004">
      <c r="B213" s="1"/>
      <c r="I213" s="1"/>
      <c r="J213" s="1"/>
      <c r="K213" s="1"/>
    </row>
    <row r="214" spans="2:11" ht="14.25" customHeight="1" x14ac:dyDescent="0.55000000000000004">
      <c r="B214" s="1"/>
      <c r="I214" s="1"/>
      <c r="J214" s="1"/>
      <c r="K214" s="1"/>
    </row>
    <row r="215" spans="2:11" ht="14.25" customHeight="1" x14ac:dyDescent="0.55000000000000004">
      <c r="B215" s="1"/>
      <c r="I215" s="1"/>
      <c r="J215" s="1"/>
      <c r="K215" s="1"/>
    </row>
    <row r="216" spans="2:11" ht="14.25" customHeight="1" x14ac:dyDescent="0.55000000000000004">
      <c r="B216" s="1"/>
      <c r="I216" s="1"/>
      <c r="J216" s="1"/>
      <c r="K216" s="1"/>
    </row>
    <row r="217" spans="2:11" ht="14.25" customHeight="1" x14ac:dyDescent="0.55000000000000004">
      <c r="B217" s="1"/>
      <c r="I217" s="1"/>
      <c r="J217" s="1"/>
      <c r="K217" s="1"/>
    </row>
    <row r="218" spans="2:11" ht="14.25" customHeight="1" x14ac:dyDescent="0.55000000000000004">
      <c r="B218" s="1"/>
      <c r="I218" s="1"/>
      <c r="J218" s="1"/>
      <c r="K218" s="1"/>
    </row>
    <row r="219" spans="2:11" ht="14.25" customHeight="1" x14ac:dyDescent="0.55000000000000004">
      <c r="B219" s="1"/>
      <c r="I219" s="1"/>
      <c r="J219" s="1"/>
      <c r="K219" s="1"/>
    </row>
    <row r="220" spans="2:11" ht="14.25" customHeight="1" x14ac:dyDescent="0.55000000000000004">
      <c r="B220" s="1"/>
      <c r="I220" s="1"/>
      <c r="J220" s="1"/>
      <c r="K220" s="1"/>
    </row>
    <row r="221" spans="2:11" ht="14.25" customHeight="1" x14ac:dyDescent="0.55000000000000004">
      <c r="B221" s="1"/>
      <c r="I221" s="1"/>
      <c r="J221" s="1"/>
      <c r="K221" s="1"/>
    </row>
    <row r="222" spans="2:11" ht="14.25" customHeight="1" x14ac:dyDescent="0.55000000000000004">
      <c r="B222" s="1"/>
      <c r="I222" s="1"/>
      <c r="J222" s="1"/>
      <c r="K222" s="1"/>
    </row>
    <row r="223" spans="2:11" ht="14.25" customHeight="1" x14ac:dyDescent="0.55000000000000004">
      <c r="B223" s="1"/>
      <c r="I223" s="1"/>
      <c r="J223" s="1"/>
      <c r="K223" s="1"/>
    </row>
    <row r="224" spans="2:11" ht="14.25" customHeight="1" x14ac:dyDescent="0.55000000000000004">
      <c r="B224" s="1"/>
      <c r="I224" s="1"/>
      <c r="J224" s="1"/>
      <c r="K224" s="1"/>
    </row>
    <row r="225" spans="2:11" ht="14.25" customHeight="1" x14ac:dyDescent="0.55000000000000004">
      <c r="B225" s="1"/>
      <c r="I225" s="1"/>
      <c r="J225" s="1"/>
      <c r="K225" s="1"/>
    </row>
    <row r="226" spans="2:11" ht="14.25" customHeight="1" x14ac:dyDescent="0.55000000000000004">
      <c r="B226" s="1"/>
      <c r="I226" s="1"/>
      <c r="J226" s="1"/>
      <c r="K226" s="1"/>
    </row>
    <row r="227" spans="2:11" ht="14.25" customHeight="1" x14ac:dyDescent="0.55000000000000004">
      <c r="B227" s="1"/>
      <c r="I227" s="1"/>
      <c r="J227" s="1"/>
      <c r="K227" s="1"/>
    </row>
    <row r="228" spans="2:11" ht="14.25" customHeight="1" x14ac:dyDescent="0.55000000000000004">
      <c r="B228" s="1"/>
      <c r="I228" s="1"/>
      <c r="J228" s="1"/>
      <c r="K228" s="1"/>
    </row>
    <row r="229" spans="2:11" ht="14.25" customHeight="1" x14ac:dyDescent="0.55000000000000004">
      <c r="B229" s="1"/>
      <c r="I229" s="1"/>
      <c r="J229" s="1"/>
      <c r="K229" s="1"/>
    </row>
    <row r="230" spans="2:11" ht="14.25" customHeight="1" x14ac:dyDescent="0.55000000000000004">
      <c r="B230" s="1"/>
      <c r="I230" s="1"/>
      <c r="J230" s="1"/>
      <c r="K230" s="1"/>
    </row>
    <row r="231" spans="2:11" ht="14.25" customHeight="1" x14ac:dyDescent="0.55000000000000004">
      <c r="B231" s="1"/>
      <c r="I231" s="1"/>
      <c r="J231" s="1"/>
      <c r="K231" s="1"/>
    </row>
    <row r="232" spans="2:11" ht="14.25" customHeight="1" x14ac:dyDescent="0.55000000000000004">
      <c r="B232" s="1"/>
      <c r="I232" s="1"/>
      <c r="J232" s="1"/>
      <c r="K232" s="1"/>
    </row>
    <row r="233" spans="2:11" ht="14.25" customHeight="1" x14ac:dyDescent="0.55000000000000004">
      <c r="B233" s="1"/>
      <c r="I233" s="1"/>
      <c r="J233" s="1"/>
      <c r="K233" s="1"/>
    </row>
    <row r="234" spans="2:11" ht="14.25" customHeight="1" x14ac:dyDescent="0.55000000000000004">
      <c r="B234" s="1"/>
      <c r="I234" s="1"/>
      <c r="J234" s="1"/>
      <c r="K234" s="1"/>
    </row>
    <row r="235" spans="2:11" ht="14.25" customHeight="1" x14ac:dyDescent="0.55000000000000004">
      <c r="B235" s="1"/>
      <c r="I235" s="1"/>
      <c r="J235" s="1"/>
      <c r="K235" s="1"/>
    </row>
    <row r="236" spans="2:11" ht="14.25" customHeight="1" x14ac:dyDescent="0.55000000000000004">
      <c r="B236" s="1"/>
      <c r="I236" s="1"/>
      <c r="J236" s="1"/>
      <c r="K236" s="1"/>
    </row>
    <row r="237" spans="2:11" ht="14.25" customHeight="1" x14ac:dyDescent="0.55000000000000004">
      <c r="B237" s="1"/>
      <c r="I237" s="1"/>
      <c r="J237" s="1"/>
      <c r="K237" s="1"/>
    </row>
    <row r="238" spans="2:11" ht="14.25" customHeight="1" x14ac:dyDescent="0.55000000000000004">
      <c r="B238" s="1"/>
      <c r="I238" s="1"/>
      <c r="J238" s="1"/>
      <c r="K238" s="1"/>
    </row>
    <row r="239" spans="2:11" ht="14.25" customHeight="1" x14ac:dyDescent="0.55000000000000004">
      <c r="B239" s="1"/>
      <c r="I239" s="1"/>
      <c r="J239" s="1"/>
      <c r="K239" s="1"/>
    </row>
    <row r="240" spans="2:11" ht="14.25" customHeight="1" x14ac:dyDescent="0.55000000000000004">
      <c r="B240" s="1"/>
      <c r="I240" s="1"/>
      <c r="J240" s="1"/>
      <c r="K240" s="1"/>
    </row>
    <row r="241" spans="2:11" ht="14.25" customHeight="1" x14ac:dyDescent="0.55000000000000004">
      <c r="B241" s="1"/>
      <c r="I241" s="1"/>
      <c r="J241" s="1"/>
      <c r="K241" s="1"/>
    </row>
    <row r="242" spans="2:11" ht="14.25" customHeight="1" x14ac:dyDescent="0.55000000000000004">
      <c r="B242" s="1"/>
      <c r="I242" s="1"/>
      <c r="J242" s="1"/>
      <c r="K242" s="1"/>
    </row>
    <row r="243" spans="2:11" ht="14.25" customHeight="1" x14ac:dyDescent="0.55000000000000004">
      <c r="B243" s="1"/>
      <c r="I243" s="1"/>
      <c r="J243" s="1"/>
      <c r="K243" s="1"/>
    </row>
    <row r="244" spans="2:11" ht="14.25" customHeight="1" x14ac:dyDescent="0.55000000000000004">
      <c r="B244" s="1"/>
      <c r="I244" s="1"/>
      <c r="J244" s="1"/>
      <c r="K244" s="1"/>
    </row>
    <row r="245" spans="2:11" ht="14.25" customHeight="1" x14ac:dyDescent="0.55000000000000004">
      <c r="B245" s="1"/>
      <c r="I245" s="1"/>
      <c r="J245" s="1"/>
      <c r="K245" s="1"/>
    </row>
    <row r="246" spans="2:11" ht="14.25" customHeight="1" x14ac:dyDescent="0.55000000000000004">
      <c r="B246" s="1"/>
      <c r="I246" s="1"/>
      <c r="J246" s="1"/>
      <c r="K246" s="1"/>
    </row>
    <row r="247" spans="2:11" ht="14.25" customHeight="1" x14ac:dyDescent="0.55000000000000004">
      <c r="B247" s="1"/>
      <c r="I247" s="1"/>
      <c r="J247" s="1"/>
      <c r="K247" s="1"/>
    </row>
    <row r="248" spans="2:11" ht="14.25" customHeight="1" x14ac:dyDescent="0.55000000000000004">
      <c r="B248" s="1"/>
      <c r="I248" s="1"/>
      <c r="J248" s="1"/>
      <c r="K248" s="1"/>
    </row>
    <row r="249" spans="2:11" ht="14.25" customHeight="1" x14ac:dyDescent="0.55000000000000004">
      <c r="B249" s="1"/>
      <c r="I249" s="1"/>
      <c r="J249" s="1"/>
      <c r="K249" s="1"/>
    </row>
    <row r="250" spans="2:11" ht="14.25" customHeight="1" x14ac:dyDescent="0.55000000000000004">
      <c r="B250" s="1"/>
      <c r="I250" s="1"/>
      <c r="J250" s="1"/>
      <c r="K250" s="1"/>
    </row>
    <row r="251" spans="2:11" ht="14.25" customHeight="1" x14ac:dyDescent="0.55000000000000004">
      <c r="B251" s="1"/>
      <c r="I251" s="1"/>
      <c r="J251" s="1"/>
      <c r="K251" s="1"/>
    </row>
    <row r="252" spans="2:11" ht="14.25" customHeight="1" x14ac:dyDescent="0.55000000000000004">
      <c r="B252" s="1"/>
      <c r="I252" s="1"/>
      <c r="J252" s="1"/>
      <c r="K252" s="1"/>
    </row>
    <row r="253" spans="2:11" ht="14.25" customHeight="1" x14ac:dyDescent="0.55000000000000004">
      <c r="B253" s="1"/>
      <c r="I253" s="1"/>
      <c r="J253" s="1"/>
      <c r="K253" s="1"/>
    </row>
    <row r="254" spans="2:11" ht="14.25" customHeight="1" x14ac:dyDescent="0.55000000000000004">
      <c r="B254" s="1"/>
      <c r="I254" s="1"/>
      <c r="J254" s="1"/>
      <c r="K254" s="1"/>
    </row>
    <row r="255" spans="2:11" ht="14.25" customHeight="1" x14ac:dyDescent="0.55000000000000004">
      <c r="B255" s="1"/>
      <c r="I255" s="1"/>
      <c r="J255" s="1"/>
      <c r="K255" s="1"/>
    </row>
    <row r="256" spans="2:11" ht="14.25" customHeight="1" x14ac:dyDescent="0.55000000000000004">
      <c r="B256" s="1"/>
      <c r="I256" s="1"/>
      <c r="J256" s="1"/>
      <c r="K256" s="1"/>
    </row>
    <row r="257" spans="2:11" ht="14.25" customHeight="1" x14ac:dyDescent="0.55000000000000004">
      <c r="B257" s="1"/>
      <c r="I257" s="1"/>
      <c r="J257" s="1"/>
      <c r="K257" s="1"/>
    </row>
    <row r="258" spans="2:11" ht="14.25" customHeight="1" x14ac:dyDescent="0.55000000000000004">
      <c r="B258" s="1"/>
      <c r="I258" s="1"/>
      <c r="J258" s="1"/>
      <c r="K258" s="1"/>
    </row>
    <row r="259" spans="2:11" ht="14.25" customHeight="1" x14ac:dyDescent="0.55000000000000004">
      <c r="B259" s="1"/>
      <c r="I259" s="1"/>
      <c r="J259" s="1"/>
      <c r="K259" s="1"/>
    </row>
    <row r="260" spans="2:11" ht="14.25" customHeight="1" x14ac:dyDescent="0.55000000000000004">
      <c r="B260" s="1"/>
      <c r="I260" s="1"/>
      <c r="J260" s="1"/>
      <c r="K260" s="1"/>
    </row>
    <row r="261" spans="2:11" ht="14.25" customHeight="1" x14ac:dyDescent="0.55000000000000004">
      <c r="B261" s="1"/>
      <c r="I261" s="1"/>
      <c r="J261" s="1"/>
      <c r="K261" s="1"/>
    </row>
    <row r="262" spans="2:11" ht="14.25" customHeight="1" x14ac:dyDescent="0.55000000000000004">
      <c r="B262" s="1"/>
      <c r="I262" s="1"/>
      <c r="J262" s="1"/>
      <c r="K262" s="1"/>
    </row>
    <row r="263" spans="2:11" ht="14.25" customHeight="1" x14ac:dyDescent="0.55000000000000004">
      <c r="B263" s="1"/>
      <c r="I263" s="1"/>
      <c r="J263" s="1"/>
      <c r="K263" s="1"/>
    </row>
    <row r="264" spans="2:11" ht="14.25" customHeight="1" x14ac:dyDescent="0.55000000000000004">
      <c r="B264" s="1"/>
      <c r="I264" s="1"/>
      <c r="J264" s="1"/>
      <c r="K264" s="1"/>
    </row>
    <row r="265" spans="2:11" ht="14.25" customHeight="1" x14ac:dyDescent="0.55000000000000004">
      <c r="B265" s="1"/>
      <c r="I265" s="1"/>
      <c r="J265" s="1"/>
      <c r="K265" s="1"/>
    </row>
    <row r="266" spans="2:11" ht="14.25" customHeight="1" x14ac:dyDescent="0.55000000000000004">
      <c r="B266" s="1"/>
      <c r="I266" s="1"/>
      <c r="J266" s="1"/>
      <c r="K266" s="1"/>
    </row>
    <row r="267" spans="2:11" ht="14.25" customHeight="1" x14ac:dyDescent="0.55000000000000004">
      <c r="B267" s="1"/>
      <c r="I267" s="1"/>
      <c r="J267" s="1"/>
      <c r="K267" s="1"/>
    </row>
    <row r="268" spans="2:11" ht="14.25" customHeight="1" x14ac:dyDescent="0.55000000000000004">
      <c r="B268" s="1"/>
      <c r="I268" s="1"/>
      <c r="J268" s="1"/>
      <c r="K268" s="1"/>
    </row>
    <row r="269" spans="2:11" ht="14.25" customHeight="1" x14ac:dyDescent="0.55000000000000004">
      <c r="B269" s="1"/>
      <c r="I269" s="1"/>
      <c r="J269" s="1"/>
      <c r="K269" s="1"/>
    </row>
    <row r="270" spans="2:11" ht="14.25" customHeight="1" x14ac:dyDescent="0.55000000000000004">
      <c r="B270" s="1"/>
      <c r="I270" s="1"/>
      <c r="J270" s="1"/>
      <c r="K270" s="1"/>
    </row>
    <row r="271" spans="2:11" ht="14.25" customHeight="1" x14ac:dyDescent="0.55000000000000004">
      <c r="B271" s="1"/>
      <c r="I271" s="1"/>
      <c r="J271" s="1"/>
      <c r="K271" s="1"/>
    </row>
    <row r="272" spans="2:11" ht="14.25" customHeight="1" x14ac:dyDescent="0.55000000000000004">
      <c r="B272" s="1"/>
      <c r="I272" s="1"/>
      <c r="J272" s="1"/>
      <c r="K272" s="1"/>
    </row>
    <row r="273" spans="2:11" ht="14.25" customHeight="1" x14ac:dyDescent="0.55000000000000004">
      <c r="B273" s="1"/>
      <c r="I273" s="1"/>
      <c r="J273" s="1"/>
      <c r="K273" s="1"/>
    </row>
    <row r="274" spans="2:11" ht="14.25" customHeight="1" x14ac:dyDescent="0.55000000000000004">
      <c r="B274" s="1"/>
      <c r="I274" s="1"/>
      <c r="J274" s="1"/>
      <c r="K274" s="1"/>
    </row>
    <row r="275" spans="2:11" ht="14.25" customHeight="1" x14ac:dyDescent="0.55000000000000004">
      <c r="B275" s="1"/>
      <c r="I275" s="1"/>
      <c r="J275" s="1"/>
      <c r="K275" s="1"/>
    </row>
    <row r="276" spans="2:11" ht="14.25" customHeight="1" x14ac:dyDescent="0.55000000000000004">
      <c r="B276" s="1"/>
      <c r="I276" s="1"/>
      <c r="J276" s="1"/>
      <c r="K276" s="1"/>
    </row>
    <row r="277" spans="2:11" ht="14.25" customHeight="1" x14ac:dyDescent="0.55000000000000004">
      <c r="B277" s="1"/>
      <c r="I277" s="1"/>
      <c r="J277" s="1"/>
      <c r="K277" s="1"/>
    </row>
    <row r="278" spans="2:11" ht="14.25" customHeight="1" x14ac:dyDescent="0.55000000000000004">
      <c r="B278" s="1"/>
      <c r="I278" s="1"/>
      <c r="J278" s="1"/>
      <c r="K278" s="1"/>
    </row>
    <row r="279" spans="2:11" ht="14.25" customHeight="1" x14ac:dyDescent="0.55000000000000004">
      <c r="B279" s="1"/>
      <c r="I279" s="1"/>
      <c r="J279" s="1"/>
      <c r="K279" s="1"/>
    </row>
    <row r="280" spans="2:11" ht="14.25" customHeight="1" x14ac:dyDescent="0.55000000000000004">
      <c r="B280" s="1"/>
      <c r="I280" s="1"/>
      <c r="J280" s="1"/>
      <c r="K280" s="1"/>
    </row>
    <row r="281" spans="2:11" ht="14.25" customHeight="1" x14ac:dyDescent="0.55000000000000004">
      <c r="B281" s="1"/>
      <c r="I281" s="1"/>
      <c r="J281" s="1"/>
      <c r="K281" s="1"/>
    </row>
    <row r="282" spans="2:11" ht="14.25" customHeight="1" x14ac:dyDescent="0.55000000000000004">
      <c r="B282" s="1"/>
      <c r="I282" s="1"/>
      <c r="J282" s="1"/>
      <c r="K282" s="1"/>
    </row>
    <row r="283" spans="2:11" ht="14.25" customHeight="1" x14ac:dyDescent="0.55000000000000004">
      <c r="B283" s="1"/>
      <c r="I283" s="1"/>
      <c r="J283" s="1"/>
      <c r="K283" s="1"/>
    </row>
    <row r="284" spans="2:11" ht="14.25" customHeight="1" x14ac:dyDescent="0.55000000000000004">
      <c r="B284" s="1"/>
      <c r="I284" s="1"/>
      <c r="J284" s="1"/>
      <c r="K284" s="1"/>
    </row>
    <row r="285" spans="2:11" ht="14.25" customHeight="1" x14ac:dyDescent="0.55000000000000004">
      <c r="B285" s="1"/>
      <c r="I285" s="1"/>
      <c r="J285" s="1"/>
      <c r="K285" s="1"/>
    </row>
    <row r="286" spans="2:11" ht="14.25" customHeight="1" x14ac:dyDescent="0.55000000000000004">
      <c r="B286" s="1"/>
      <c r="I286" s="1"/>
      <c r="J286" s="1"/>
      <c r="K286" s="1"/>
    </row>
    <row r="287" spans="2:11" ht="14.25" customHeight="1" x14ac:dyDescent="0.55000000000000004">
      <c r="B287" s="1"/>
      <c r="I287" s="1"/>
      <c r="J287" s="1"/>
      <c r="K287" s="1"/>
    </row>
    <row r="288" spans="2:11" ht="14.25" customHeight="1" x14ac:dyDescent="0.55000000000000004">
      <c r="B288" s="1"/>
      <c r="I288" s="1"/>
      <c r="J288" s="1"/>
      <c r="K288" s="1"/>
    </row>
    <row r="289" spans="2:11" ht="14.25" customHeight="1" x14ac:dyDescent="0.55000000000000004">
      <c r="B289" s="1"/>
      <c r="I289" s="1"/>
      <c r="J289" s="1"/>
      <c r="K289" s="1"/>
    </row>
    <row r="290" spans="2:11" ht="14.25" customHeight="1" x14ac:dyDescent="0.55000000000000004">
      <c r="B290" s="1"/>
      <c r="I290" s="1"/>
      <c r="J290" s="1"/>
      <c r="K290" s="1"/>
    </row>
    <row r="291" spans="2:11" ht="14.25" customHeight="1" x14ac:dyDescent="0.55000000000000004">
      <c r="B291" s="1"/>
      <c r="I291" s="1"/>
      <c r="J291" s="1"/>
      <c r="K291" s="1"/>
    </row>
    <row r="292" spans="2:11" ht="14.25" customHeight="1" x14ac:dyDescent="0.55000000000000004">
      <c r="B292" s="1"/>
      <c r="I292" s="1"/>
      <c r="J292" s="1"/>
      <c r="K292" s="1"/>
    </row>
    <row r="293" spans="2:11" ht="14.25" customHeight="1" x14ac:dyDescent="0.55000000000000004">
      <c r="B293" s="1"/>
      <c r="I293" s="1"/>
      <c r="J293" s="1"/>
      <c r="K293" s="1"/>
    </row>
    <row r="294" spans="2:11" ht="14.25" customHeight="1" x14ac:dyDescent="0.55000000000000004">
      <c r="B294" s="1"/>
      <c r="I294" s="1"/>
      <c r="J294" s="1"/>
      <c r="K294" s="1"/>
    </row>
    <row r="295" spans="2:11" ht="14.25" customHeight="1" x14ac:dyDescent="0.55000000000000004">
      <c r="B295" s="1"/>
      <c r="I295" s="1"/>
      <c r="J295" s="1"/>
      <c r="K295" s="1"/>
    </row>
    <row r="296" spans="2:11" ht="14.25" customHeight="1" x14ac:dyDescent="0.55000000000000004">
      <c r="B296" s="1"/>
      <c r="I296" s="1"/>
      <c r="J296" s="1"/>
      <c r="K296" s="1"/>
    </row>
    <row r="297" spans="2:11" ht="14.25" customHeight="1" x14ac:dyDescent="0.55000000000000004">
      <c r="B297" s="1"/>
      <c r="I297" s="1"/>
      <c r="J297" s="1"/>
      <c r="K297" s="1"/>
    </row>
    <row r="298" spans="2:11" ht="14.25" customHeight="1" x14ac:dyDescent="0.55000000000000004">
      <c r="B298" s="1"/>
      <c r="I298" s="1"/>
      <c r="J298" s="1"/>
      <c r="K298" s="1"/>
    </row>
    <row r="299" spans="2:11" ht="14.25" customHeight="1" x14ac:dyDescent="0.55000000000000004">
      <c r="B299" s="1"/>
      <c r="I299" s="1"/>
      <c r="J299" s="1"/>
      <c r="K299" s="1"/>
    </row>
    <row r="300" spans="2:11" ht="14.25" customHeight="1" x14ac:dyDescent="0.55000000000000004">
      <c r="B300" s="1"/>
      <c r="I300" s="1"/>
      <c r="J300" s="1"/>
      <c r="K300" s="1"/>
    </row>
    <row r="301" spans="2:11" ht="14.25" customHeight="1" x14ac:dyDescent="0.55000000000000004">
      <c r="B301" s="1"/>
      <c r="I301" s="1"/>
      <c r="J301" s="1"/>
      <c r="K301" s="1"/>
    </row>
    <row r="302" spans="2:11" ht="14.25" customHeight="1" x14ac:dyDescent="0.55000000000000004">
      <c r="B302" s="1"/>
      <c r="I302" s="1"/>
      <c r="J302" s="1"/>
      <c r="K302" s="1"/>
    </row>
    <row r="303" spans="2:11" ht="14.25" customHeight="1" x14ac:dyDescent="0.55000000000000004">
      <c r="B303" s="1"/>
      <c r="I303" s="1"/>
      <c r="J303" s="1"/>
      <c r="K303" s="1"/>
    </row>
    <row r="304" spans="2:11" ht="14.25" customHeight="1" x14ac:dyDescent="0.55000000000000004">
      <c r="B304" s="1"/>
      <c r="I304" s="1"/>
      <c r="J304" s="1"/>
      <c r="K304" s="1"/>
    </row>
    <row r="305" spans="2:11" ht="14.25" customHeight="1" x14ac:dyDescent="0.55000000000000004">
      <c r="B305" s="1"/>
      <c r="I305" s="1"/>
      <c r="J305" s="1"/>
      <c r="K305" s="1"/>
    </row>
    <row r="306" spans="2:11" ht="14.25" customHeight="1" x14ac:dyDescent="0.55000000000000004">
      <c r="B306" s="1"/>
      <c r="I306" s="1"/>
      <c r="J306" s="1"/>
      <c r="K306" s="1"/>
    </row>
    <row r="307" spans="2:11" ht="14.25" customHeight="1" x14ac:dyDescent="0.55000000000000004">
      <c r="B307" s="1"/>
      <c r="I307" s="1"/>
      <c r="J307" s="1"/>
      <c r="K307" s="1"/>
    </row>
    <row r="308" spans="2:11" ht="14.25" customHeight="1" x14ac:dyDescent="0.55000000000000004">
      <c r="B308" s="1"/>
      <c r="I308" s="1"/>
      <c r="J308" s="1"/>
      <c r="K308" s="1"/>
    </row>
    <row r="309" spans="2:11" ht="14.25" customHeight="1" x14ac:dyDescent="0.55000000000000004">
      <c r="B309" s="1"/>
      <c r="I309" s="1"/>
      <c r="J309" s="1"/>
      <c r="K309" s="1"/>
    </row>
    <row r="310" spans="2:11" ht="14.25" customHeight="1" x14ac:dyDescent="0.55000000000000004">
      <c r="B310" s="1"/>
      <c r="I310" s="1"/>
      <c r="J310" s="1"/>
      <c r="K310" s="1"/>
    </row>
    <row r="311" spans="2:11" ht="14.25" customHeight="1" x14ac:dyDescent="0.55000000000000004">
      <c r="B311" s="1"/>
      <c r="I311" s="1"/>
      <c r="J311" s="1"/>
      <c r="K311" s="1"/>
    </row>
    <row r="312" spans="2:11" ht="14.25" customHeight="1" x14ac:dyDescent="0.55000000000000004">
      <c r="B312" s="1"/>
      <c r="I312" s="1"/>
      <c r="J312" s="1"/>
      <c r="K312" s="1"/>
    </row>
    <row r="313" spans="2:11" ht="14.25" customHeight="1" x14ac:dyDescent="0.55000000000000004">
      <c r="B313" s="1"/>
      <c r="I313" s="1"/>
      <c r="J313" s="1"/>
      <c r="K313" s="1"/>
    </row>
    <row r="314" spans="2:11" ht="14.25" customHeight="1" x14ac:dyDescent="0.55000000000000004">
      <c r="B314" s="1"/>
      <c r="I314" s="1"/>
      <c r="J314" s="1"/>
      <c r="K314" s="1"/>
    </row>
    <row r="315" spans="2:11" ht="14.25" customHeight="1" x14ac:dyDescent="0.55000000000000004">
      <c r="B315" s="1"/>
      <c r="I315" s="1"/>
      <c r="J315" s="1"/>
      <c r="K315" s="1"/>
    </row>
    <row r="316" spans="2:11" ht="14.25" customHeight="1" x14ac:dyDescent="0.55000000000000004">
      <c r="B316" s="1"/>
      <c r="I316" s="1"/>
      <c r="J316" s="1"/>
      <c r="K316" s="1"/>
    </row>
    <row r="317" spans="2:11" ht="14.25" customHeight="1" x14ac:dyDescent="0.55000000000000004">
      <c r="B317" s="1"/>
      <c r="I317" s="1"/>
      <c r="J317" s="1"/>
      <c r="K317" s="1"/>
    </row>
    <row r="318" spans="2:11" ht="14.25" customHeight="1" x14ac:dyDescent="0.55000000000000004">
      <c r="B318" s="1"/>
      <c r="I318" s="1"/>
      <c r="J318" s="1"/>
      <c r="K318" s="1"/>
    </row>
    <row r="319" spans="2:11" ht="14.25" customHeight="1" x14ac:dyDescent="0.55000000000000004">
      <c r="B319" s="1"/>
      <c r="I319" s="1"/>
      <c r="J319" s="1"/>
      <c r="K319" s="1"/>
    </row>
    <row r="320" spans="2:11" ht="14.25" customHeight="1" x14ac:dyDescent="0.55000000000000004">
      <c r="B320" s="1"/>
      <c r="I320" s="1"/>
      <c r="J320" s="1"/>
      <c r="K320" s="1"/>
    </row>
    <row r="321" spans="2:11" ht="14.25" customHeight="1" x14ac:dyDescent="0.55000000000000004">
      <c r="B321" s="1"/>
      <c r="I321" s="1"/>
      <c r="J321" s="1"/>
      <c r="K321" s="1"/>
    </row>
    <row r="322" spans="2:11" ht="14.25" customHeight="1" x14ac:dyDescent="0.55000000000000004">
      <c r="B322" s="1"/>
      <c r="I322" s="1"/>
      <c r="J322" s="1"/>
      <c r="K322" s="1"/>
    </row>
    <row r="323" spans="2:11" ht="14.25" customHeight="1" x14ac:dyDescent="0.55000000000000004">
      <c r="B323" s="1"/>
      <c r="I323" s="1"/>
      <c r="J323" s="1"/>
      <c r="K323" s="1"/>
    </row>
    <row r="324" spans="2:11" ht="14.25" customHeight="1" x14ac:dyDescent="0.55000000000000004">
      <c r="B324" s="1"/>
      <c r="I324" s="1"/>
      <c r="J324" s="1"/>
      <c r="K324" s="1"/>
    </row>
    <row r="325" spans="2:11" ht="14.25" customHeight="1" x14ac:dyDescent="0.55000000000000004">
      <c r="B325" s="1"/>
      <c r="I325" s="1"/>
      <c r="J325" s="1"/>
      <c r="K325" s="1"/>
    </row>
    <row r="326" spans="2:11" ht="14.25" customHeight="1" x14ac:dyDescent="0.55000000000000004">
      <c r="B326" s="1"/>
      <c r="I326" s="1"/>
      <c r="J326" s="1"/>
      <c r="K326" s="1"/>
    </row>
    <row r="327" spans="2:11" ht="14.25" customHeight="1" x14ac:dyDescent="0.55000000000000004">
      <c r="B327" s="1"/>
      <c r="I327" s="1"/>
      <c r="J327" s="1"/>
      <c r="K327" s="1"/>
    </row>
    <row r="328" spans="2:11" ht="14.25" customHeight="1" x14ac:dyDescent="0.55000000000000004">
      <c r="B328" s="1"/>
      <c r="I328" s="1"/>
      <c r="J328" s="1"/>
      <c r="K328" s="1"/>
    </row>
    <row r="329" spans="2:11" ht="14.25" customHeight="1" x14ac:dyDescent="0.55000000000000004">
      <c r="B329" s="1"/>
      <c r="I329" s="1"/>
      <c r="J329" s="1"/>
      <c r="K329" s="1"/>
    </row>
    <row r="330" spans="2:11" ht="14.25" customHeight="1" x14ac:dyDescent="0.55000000000000004">
      <c r="B330" s="1"/>
      <c r="I330" s="1"/>
      <c r="J330" s="1"/>
      <c r="K330" s="1"/>
    </row>
    <row r="331" spans="2:11" ht="14.25" customHeight="1" x14ac:dyDescent="0.55000000000000004">
      <c r="B331" s="1"/>
      <c r="I331" s="1"/>
      <c r="J331" s="1"/>
      <c r="K331" s="1"/>
    </row>
    <row r="332" spans="2:11" ht="14.25" customHeight="1" x14ac:dyDescent="0.55000000000000004">
      <c r="B332" s="1"/>
      <c r="I332" s="1"/>
      <c r="J332" s="1"/>
      <c r="K332" s="1"/>
    </row>
    <row r="333" spans="2:11" ht="14.25" customHeight="1" x14ac:dyDescent="0.55000000000000004">
      <c r="B333" s="1"/>
      <c r="I333" s="1"/>
      <c r="J333" s="1"/>
      <c r="K333" s="1"/>
    </row>
    <row r="334" spans="2:11" ht="14.25" customHeight="1" x14ac:dyDescent="0.55000000000000004">
      <c r="B334" s="1"/>
      <c r="I334" s="1"/>
      <c r="J334" s="1"/>
      <c r="K334" s="1"/>
    </row>
    <row r="335" spans="2:11" ht="14.25" customHeight="1" x14ac:dyDescent="0.55000000000000004">
      <c r="B335" s="1"/>
      <c r="I335" s="1"/>
      <c r="J335" s="1"/>
      <c r="K335" s="1"/>
    </row>
    <row r="336" spans="2:11" ht="14.25" customHeight="1" x14ac:dyDescent="0.55000000000000004">
      <c r="B336" s="1"/>
      <c r="I336" s="1"/>
      <c r="J336" s="1"/>
      <c r="K336" s="1"/>
    </row>
    <row r="337" spans="2:11" ht="14.25" customHeight="1" x14ac:dyDescent="0.55000000000000004">
      <c r="B337" s="1"/>
      <c r="I337" s="1"/>
      <c r="J337" s="1"/>
      <c r="K337" s="1"/>
    </row>
    <row r="338" spans="2:11" ht="14.25" customHeight="1" x14ac:dyDescent="0.55000000000000004">
      <c r="B338" s="1"/>
      <c r="I338" s="1"/>
      <c r="J338" s="1"/>
      <c r="K338" s="1"/>
    </row>
    <row r="339" spans="2:11" ht="14.25" customHeight="1" x14ac:dyDescent="0.55000000000000004">
      <c r="B339" s="1"/>
      <c r="I339" s="1"/>
      <c r="J339" s="1"/>
      <c r="K339" s="1"/>
    </row>
    <row r="340" spans="2:11" ht="14.25" customHeight="1" x14ac:dyDescent="0.55000000000000004">
      <c r="B340" s="1"/>
      <c r="I340" s="1"/>
      <c r="J340" s="1"/>
      <c r="K340" s="1"/>
    </row>
    <row r="341" spans="2:11" ht="14.25" customHeight="1" x14ac:dyDescent="0.55000000000000004">
      <c r="B341" s="1"/>
      <c r="I341" s="1"/>
      <c r="J341" s="1"/>
      <c r="K341" s="1"/>
    </row>
    <row r="342" spans="2:11" ht="14.25" customHeight="1" x14ac:dyDescent="0.55000000000000004">
      <c r="B342" s="1"/>
      <c r="I342" s="1"/>
      <c r="J342" s="1"/>
      <c r="K342" s="1"/>
    </row>
    <row r="343" spans="2:11" ht="14.25" customHeight="1" x14ac:dyDescent="0.55000000000000004">
      <c r="B343" s="1"/>
      <c r="I343" s="1"/>
      <c r="J343" s="1"/>
      <c r="K343" s="1"/>
    </row>
    <row r="344" spans="2:11" ht="14.25" customHeight="1" x14ac:dyDescent="0.55000000000000004">
      <c r="B344" s="1"/>
      <c r="I344" s="1"/>
      <c r="J344" s="1"/>
      <c r="K344" s="1"/>
    </row>
    <row r="345" spans="2:11" ht="14.25" customHeight="1" x14ac:dyDescent="0.55000000000000004">
      <c r="B345" s="1"/>
      <c r="I345" s="1"/>
      <c r="J345" s="1"/>
      <c r="K345" s="1"/>
    </row>
    <row r="346" spans="2:11" ht="14.25" customHeight="1" x14ac:dyDescent="0.55000000000000004">
      <c r="B346" s="1"/>
      <c r="I346" s="1"/>
      <c r="J346" s="1"/>
      <c r="K346" s="1"/>
    </row>
    <row r="347" spans="2:11" ht="14.25" customHeight="1" x14ac:dyDescent="0.55000000000000004">
      <c r="B347" s="1"/>
      <c r="I347" s="1"/>
      <c r="J347" s="1"/>
      <c r="K347" s="1"/>
    </row>
    <row r="348" spans="2:11" ht="14.25" customHeight="1" x14ac:dyDescent="0.55000000000000004">
      <c r="B348" s="1"/>
      <c r="I348" s="1"/>
      <c r="J348" s="1"/>
      <c r="K348" s="1"/>
    </row>
    <row r="349" spans="2:11" ht="14.25" customHeight="1" x14ac:dyDescent="0.55000000000000004">
      <c r="B349" s="1"/>
      <c r="I349" s="1"/>
      <c r="J349" s="1"/>
      <c r="K349" s="1"/>
    </row>
    <row r="350" spans="2:11" ht="14.25" customHeight="1" x14ac:dyDescent="0.55000000000000004">
      <c r="B350" s="1"/>
      <c r="I350" s="1"/>
      <c r="J350" s="1"/>
      <c r="K350" s="1"/>
    </row>
    <row r="351" spans="2:11" ht="14.25" customHeight="1" x14ac:dyDescent="0.55000000000000004">
      <c r="B351" s="1"/>
      <c r="I351" s="1"/>
      <c r="J351" s="1"/>
      <c r="K351" s="1"/>
    </row>
    <row r="352" spans="2:11" ht="14.25" customHeight="1" x14ac:dyDescent="0.55000000000000004">
      <c r="B352" s="1"/>
      <c r="I352" s="1"/>
      <c r="J352" s="1"/>
      <c r="K352" s="1"/>
    </row>
    <row r="353" spans="2:11" ht="14.25" customHeight="1" x14ac:dyDescent="0.55000000000000004">
      <c r="B353" s="1"/>
      <c r="I353" s="1"/>
      <c r="J353" s="1"/>
      <c r="K353" s="1"/>
    </row>
    <row r="354" spans="2:11" ht="14.25" customHeight="1" x14ac:dyDescent="0.55000000000000004">
      <c r="B354" s="1"/>
      <c r="I354" s="1"/>
      <c r="J354" s="1"/>
      <c r="K354" s="1"/>
    </row>
    <row r="355" spans="2:11" ht="14.25" customHeight="1" x14ac:dyDescent="0.55000000000000004">
      <c r="B355" s="1"/>
      <c r="I355" s="1"/>
      <c r="J355" s="1"/>
      <c r="K355" s="1"/>
    </row>
    <row r="356" spans="2:11" ht="14.25" customHeight="1" x14ac:dyDescent="0.55000000000000004">
      <c r="B356" s="1"/>
      <c r="I356" s="1"/>
      <c r="J356" s="1"/>
      <c r="K356" s="1"/>
    </row>
    <row r="357" spans="2:11" ht="14.25" customHeight="1" x14ac:dyDescent="0.55000000000000004">
      <c r="B357" s="1"/>
      <c r="I357" s="1"/>
      <c r="J357" s="1"/>
      <c r="K357" s="1"/>
    </row>
    <row r="358" spans="2:11" ht="14.25" customHeight="1" x14ac:dyDescent="0.55000000000000004">
      <c r="B358" s="1"/>
      <c r="I358" s="1"/>
      <c r="J358" s="1"/>
      <c r="K358" s="1"/>
    </row>
    <row r="359" spans="2:11" ht="14.25" customHeight="1" x14ac:dyDescent="0.55000000000000004">
      <c r="B359" s="1"/>
      <c r="I359" s="1"/>
      <c r="J359" s="1"/>
      <c r="K359" s="1"/>
    </row>
    <row r="360" spans="2:11" ht="14.25" customHeight="1" x14ac:dyDescent="0.55000000000000004">
      <c r="B360" s="1"/>
      <c r="I360" s="1"/>
      <c r="J360" s="1"/>
      <c r="K360" s="1"/>
    </row>
    <row r="361" spans="2:11" ht="14.25" customHeight="1" x14ac:dyDescent="0.55000000000000004">
      <c r="B361" s="1"/>
      <c r="I361" s="1"/>
      <c r="J361" s="1"/>
      <c r="K361" s="1"/>
    </row>
    <row r="362" spans="2:11" ht="14.25" customHeight="1" x14ac:dyDescent="0.55000000000000004">
      <c r="B362" s="1"/>
      <c r="I362" s="1"/>
      <c r="J362" s="1"/>
      <c r="K362" s="1"/>
    </row>
    <row r="363" spans="2:11" ht="14.25" customHeight="1" x14ac:dyDescent="0.55000000000000004">
      <c r="B363" s="1"/>
      <c r="I363" s="1"/>
      <c r="J363" s="1"/>
      <c r="K363" s="1"/>
    </row>
    <row r="364" spans="2:11" ht="14.25" customHeight="1" x14ac:dyDescent="0.55000000000000004">
      <c r="B364" s="1"/>
      <c r="I364" s="1"/>
      <c r="J364" s="1"/>
      <c r="K364" s="1"/>
    </row>
    <row r="365" spans="2:11" ht="14.25" customHeight="1" x14ac:dyDescent="0.55000000000000004">
      <c r="B365" s="1"/>
      <c r="I365" s="1"/>
      <c r="J365" s="1"/>
      <c r="K365" s="1"/>
    </row>
    <row r="366" spans="2:11" ht="14.25" customHeight="1" x14ac:dyDescent="0.55000000000000004">
      <c r="B366" s="1"/>
      <c r="I366" s="1"/>
      <c r="J366" s="1"/>
      <c r="K366" s="1"/>
    </row>
    <row r="367" spans="2:11" ht="14.25" customHeight="1" x14ac:dyDescent="0.55000000000000004">
      <c r="B367" s="1"/>
      <c r="I367" s="1"/>
      <c r="J367" s="1"/>
      <c r="K367" s="1"/>
    </row>
    <row r="368" spans="2:11" ht="14.25" customHeight="1" x14ac:dyDescent="0.55000000000000004">
      <c r="B368" s="1"/>
      <c r="I368" s="1"/>
      <c r="J368" s="1"/>
      <c r="K368" s="1"/>
    </row>
    <row r="369" spans="2:11" ht="14.25" customHeight="1" x14ac:dyDescent="0.55000000000000004">
      <c r="B369" s="1"/>
      <c r="I369" s="1"/>
      <c r="J369" s="1"/>
      <c r="K369" s="1"/>
    </row>
    <row r="370" spans="2:11" ht="14.25" customHeight="1" x14ac:dyDescent="0.55000000000000004">
      <c r="B370" s="1"/>
      <c r="I370" s="1"/>
      <c r="J370" s="1"/>
      <c r="K370" s="1"/>
    </row>
    <row r="371" spans="2:11" ht="14.25" customHeight="1" x14ac:dyDescent="0.55000000000000004">
      <c r="B371" s="1"/>
      <c r="I371" s="1"/>
      <c r="J371" s="1"/>
      <c r="K371" s="1"/>
    </row>
    <row r="372" spans="2:11" ht="14.25" customHeight="1" x14ac:dyDescent="0.55000000000000004">
      <c r="B372" s="1"/>
      <c r="I372" s="1"/>
      <c r="J372" s="1"/>
      <c r="K372" s="1"/>
    </row>
    <row r="373" spans="2:11" ht="14.25" customHeight="1" x14ac:dyDescent="0.55000000000000004">
      <c r="B373" s="1"/>
      <c r="I373" s="1"/>
      <c r="J373" s="1"/>
      <c r="K373" s="1"/>
    </row>
    <row r="374" spans="2:11" ht="14.25" customHeight="1" x14ac:dyDescent="0.55000000000000004">
      <c r="B374" s="1"/>
      <c r="I374" s="1"/>
      <c r="J374" s="1"/>
      <c r="K374" s="1"/>
    </row>
    <row r="375" spans="2:11" ht="14.25" customHeight="1" x14ac:dyDescent="0.55000000000000004">
      <c r="B375" s="1"/>
      <c r="I375" s="1"/>
      <c r="J375" s="1"/>
      <c r="K375" s="1"/>
    </row>
    <row r="376" spans="2:11" ht="14.25" customHeight="1" x14ac:dyDescent="0.55000000000000004">
      <c r="B376" s="1"/>
      <c r="I376" s="1"/>
      <c r="J376" s="1"/>
      <c r="K376" s="1"/>
    </row>
    <row r="377" spans="2:11" ht="14.25" customHeight="1" x14ac:dyDescent="0.55000000000000004">
      <c r="B377" s="1"/>
      <c r="I377" s="1"/>
      <c r="J377" s="1"/>
      <c r="K377" s="1"/>
    </row>
    <row r="378" spans="2:11" ht="14.25" customHeight="1" x14ac:dyDescent="0.55000000000000004">
      <c r="B378" s="1"/>
      <c r="I378" s="1"/>
      <c r="J378" s="1"/>
      <c r="K378" s="1"/>
    </row>
    <row r="379" spans="2:11" ht="14.25" customHeight="1" x14ac:dyDescent="0.55000000000000004">
      <c r="B379" s="1"/>
      <c r="I379" s="1"/>
      <c r="J379" s="1"/>
      <c r="K379" s="1"/>
    </row>
    <row r="380" spans="2:11" ht="14.25" customHeight="1" x14ac:dyDescent="0.55000000000000004">
      <c r="B380" s="1"/>
      <c r="I380" s="1"/>
      <c r="J380" s="1"/>
      <c r="K380" s="1"/>
    </row>
    <row r="381" spans="2:11" ht="14.25" customHeight="1" x14ac:dyDescent="0.55000000000000004">
      <c r="B381" s="1"/>
      <c r="I381" s="1"/>
      <c r="J381" s="1"/>
      <c r="K381" s="1"/>
    </row>
    <row r="382" spans="2:11" ht="14.25" customHeight="1" x14ac:dyDescent="0.55000000000000004">
      <c r="B382" s="1"/>
      <c r="I382" s="1"/>
      <c r="J382" s="1"/>
      <c r="K382" s="1"/>
    </row>
    <row r="383" spans="2:11" ht="14.25" customHeight="1" x14ac:dyDescent="0.55000000000000004">
      <c r="B383" s="1"/>
      <c r="I383" s="1"/>
      <c r="J383" s="1"/>
      <c r="K383" s="1"/>
    </row>
    <row r="384" spans="2:11" ht="14.25" customHeight="1" x14ac:dyDescent="0.55000000000000004">
      <c r="B384" s="1"/>
      <c r="I384" s="1"/>
      <c r="J384" s="1"/>
      <c r="K384" s="1"/>
    </row>
    <row r="385" spans="2:11" ht="14.25" customHeight="1" x14ac:dyDescent="0.55000000000000004">
      <c r="B385" s="1"/>
      <c r="I385" s="1"/>
      <c r="J385" s="1"/>
      <c r="K385" s="1"/>
    </row>
    <row r="386" spans="2:11" ht="14.25" customHeight="1" x14ac:dyDescent="0.55000000000000004">
      <c r="B386" s="1"/>
      <c r="I386" s="1"/>
      <c r="J386" s="1"/>
      <c r="K386" s="1"/>
    </row>
    <row r="387" spans="2:11" ht="14.25" customHeight="1" x14ac:dyDescent="0.55000000000000004">
      <c r="B387" s="1"/>
      <c r="I387" s="1"/>
      <c r="J387" s="1"/>
      <c r="K387" s="1"/>
    </row>
    <row r="388" spans="2:11" ht="14.25" customHeight="1" x14ac:dyDescent="0.55000000000000004">
      <c r="B388" s="1"/>
      <c r="I388" s="1"/>
      <c r="J388" s="1"/>
      <c r="K388" s="1"/>
    </row>
    <row r="389" spans="2:11" ht="14.25" customHeight="1" x14ac:dyDescent="0.55000000000000004">
      <c r="B389" s="1"/>
      <c r="I389" s="1"/>
      <c r="J389" s="1"/>
      <c r="K389" s="1"/>
    </row>
    <row r="390" spans="2:11" ht="14.25" customHeight="1" x14ac:dyDescent="0.55000000000000004">
      <c r="B390" s="1"/>
      <c r="I390" s="1"/>
      <c r="J390" s="1"/>
      <c r="K390" s="1"/>
    </row>
    <row r="391" spans="2:11" ht="14.25" customHeight="1" x14ac:dyDescent="0.55000000000000004">
      <c r="B391" s="1"/>
      <c r="I391" s="1"/>
      <c r="J391" s="1"/>
      <c r="K391" s="1"/>
    </row>
    <row r="392" spans="2:11" ht="14.25" customHeight="1" x14ac:dyDescent="0.55000000000000004">
      <c r="B392" s="1"/>
      <c r="I392" s="1"/>
      <c r="J392" s="1"/>
      <c r="K392" s="1"/>
    </row>
    <row r="393" spans="2:11" ht="14.25" customHeight="1" x14ac:dyDescent="0.55000000000000004">
      <c r="B393" s="1"/>
      <c r="I393" s="1"/>
      <c r="J393" s="1"/>
      <c r="K393" s="1"/>
    </row>
    <row r="394" spans="2:11" ht="14.25" customHeight="1" x14ac:dyDescent="0.55000000000000004">
      <c r="B394" s="1"/>
      <c r="I394" s="1"/>
      <c r="J394" s="1"/>
      <c r="K394" s="1"/>
    </row>
    <row r="395" spans="2:11" ht="14.25" customHeight="1" x14ac:dyDescent="0.55000000000000004">
      <c r="B395" s="1"/>
      <c r="I395" s="1"/>
      <c r="J395" s="1"/>
      <c r="K395" s="1"/>
    </row>
    <row r="396" spans="2:11" ht="14.25" customHeight="1" x14ac:dyDescent="0.55000000000000004">
      <c r="B396" s="1"/>
      <c r="I396" s="1"/>
      <c r="J396" s="1"/>
      <c r="K396" s="1"/>
    </row>
    <row r="397" spans="2:11" ht="14.25" customHeight="1" x14ac:dyDescent="0.55000000000000004">
      <c r="B397" s="1"/>
      <c r="I397" s="1"/>
      <c r="J397" s="1"/>
      <c r="K397" s="1"/>
    </row>
    <row r="398" spans="2:11" ht="14.25" customHeight="1" x14ac:dyDescent="0.55000000000000004">
      <c r="B398" s="1"/>
      <c r="I398" s="1"/>
      <c r="J398" s="1"/>
      <c r="K398" s="1"/>
    </row>
    <row r="399" spans="2:11" ht="14.25" customHeight="1" x14ac:dyDescent="0.55000000000000004">
      <c r="B399" s="1"/>
      <c r="I399" s="1"/>
      <c r="J399" s="1"/>
      <c r="K399" s="1"/>
    </row>
    <row r="400" spans="2:11" ht="14.25" customHeight="1" x14ac:dyDescent="0.55000000000000004">
      <c r="B400" s="1"/>
      <c r="I400" s="1"/>
      <c r="J400" s="1"/>
      <c r="K400" s="1"/>
    </row>
    <row r="401" spans="2:11" ht="14.25" customHeight="1" x14ac:dyDescent="0.55000000000000004">
      <c r="B401" s="1"/>
      <c r="I401" s="1"/>
      <c r="J401" s="1"/>
      <c r="K401" s="1"/>
    </row>
    <row r="402" spans="2:11" ht="14.25" customHeight="1" x14ac:dyDescent="0.55000000000000004">
      <c r="B402" s="1"/>
      <c r="I402" s="1"/>
      <c r="J402" s="1"/>
      <c r="K402" s="1"/>
    </row>
    <row r="403" spans="2:11" ht="14.25" customHeight="1" x14ac:dyDescent="0.55000000000000004">
      <c r="B403" s="1"/>
      <c r="I403" s="1"/>
      <c r="J403" s="1"/>
      <c r="K403" s="1"/>
    </row>
    <row r="404" spans="2:11" ht="14.25" customHeight="1" x14ac:dyDescent="0.55000000000000004">
      <c r="B404" s="1"/>
      <c r="I404" s="1"/>
      <c r="J404" s="1"/>
      <c r="K404" s="1"/>
    </row>
    <row r="405" spans="2:11" ht="14.25" customHeight="1" x14ac:dyDescent="0.55000000000000004">
      <c r="B405" s="1"/>
      <c r="I405" s="1"/>
      <c r="J405" s="1"/>
      <c r="K405" s="1"/>
    </row>
    <row r="406" spans="2:11" ht="14.25" customHeight="1" x14ac:dyDescent="0.55000000000000004">
      <c r="B406" s="1"/>
      <c r="I406" s="1"/>
      <c r="J406" s="1"/>
      <c r="K406" s="1"/>
    </row>
    <row r="407" spans="2:11" ht="14.25" customHeight="1" x14ac:dyDescent="0.55000000000000004">
      <c r="B407" s="1"/>
      <c r="I407" s="1"/>
      <c r="J407" s="1"/>
      <c r="K407" s="1"/>
    </row>
    <row r="408" spans="2:11" ht="14.25" customHeight="1" x14ac:dyDescent="0.55000000000000004">
      <c r="B408" s="1"/>
      <c r="I408" s="1"/>
      <c r="J408" s="1"/>
      <c r="K408" s="1"/>
    </row>
    <row r="409" spans="2:11" ht="14.25" customHeight="1" x14ac:dyDescent="0.55000000000000004">
      <c r="B409" s="1"/>
      <c r="I409" s="1"/>
      <c r="J409" s="1"/>
      <c r="K409" s="1"/>
    </row>
    <row r="410" spans="2:11" ht="14.25" customHeight="1" x14ac:dyDescent="0.55000000000000004">
      <c r="B410" s="1"/>
      <c r="I410" s="1"/>
      <c r="J410" s="1"/>
      <c r="K410" s="1"/>
    </row>
    <row r="411" spans="2:11" ht="14.25" customHeight="1" x14ac:dyDescent="0.55000000000000004">
      <c r="B411" s="1"/>
      <c r="I411" s="1"/>
      <c r="J411" s="1"/>
      <c r="K411" s="1"/>
    </row>
    <row r="412" spans="2:11" ht="14.25" customHeight="1" x14ac:dyDescent="0.55000000000000004">
      <c r="B412" s="1"/>
      <c r="I412" s="1"/>
      <c r="J412" s="1"/>
      <c r="K412" s="1"/>
    </row>
    <row r="413" spans="2:11" ht="14.25" customHeight="1" x14ac:dyDescent="0.55000000000000004">
      <c r="B413" s="1"/>
      <c r="I413" s="1"/>
      <c r="J413" s="1"/>
      <c r="K413" s="1"/>
    </row>
    <row r="414" spans="2:11" ht="14.25" customHeight="1" x14ac:dyDescent="0.55000000000000004">
      <c r="B414" s="1"/>
      <c r="I414" s="1"/>
      <c r="J414" s="1"/>
      <c r="K414" s="1"/>
    </row>
    <row r="415" spans="2:11" ht="14.25" customHeight="1" x14ac:dyDescent="0.55000000000000004">
      <c r="B415" s="1"/>
      <c r="I415" s="1"/>
      <c r="J415" s="1"/>
      <c r="K415" s="1"/>
    </row>
    <row r="416" spans="2:11" ht="14.25" customHeight="1" x14ac:dyDescent="0.55000000000000004">
      <c r="B416" s="1"/>
      <c r="I416" s="1"/>
      <c r="J416" s="1"/>
      <c r="K416" s="1"/>
    </row>
    <row r="417" spans="2:11" ht="14.25" customHeight="1" x14ac:dyDescent="0.55000000000000004">
      <c r="B417" s="1"/>
      <c r="I417" s="1"/>
      <c r="J417" s="1"/>
      <c r="K417" s="1"/>
    </row>
    <row r="418" spans="2:11" ht="14.25" customHeight="1" x14ac:dyDescent="0.55000000000000004">
      <c r="B418" s="1"/>
      <c r="I418" s="1"/>
      <c r="J418" s="1"/>
      <c r="K418" s="1"/>
    </row>
    <row r="419" spans="2:11" ht="14.25" customHeight="1" x14ac:dyDescent="0.55000000000000004">
      <c r="B419" s="1"/>
      <c r="I419" s="1"/>
      <c r="J419" s="1"/>
      <c r="K419" s="1"/>
    </row>
    <row r="420" spans="2:11" ht="14.25" customHeight="1" x14ac:dyDescent="0.55000000000000004">
      <c r="B420" s="1"/>
      <c r="I420" s="1"/>
      <c r="J420" s="1"/>
      <c r="K420" s="1"/>
    </row>
    <row r="421" spans="2:11" ht="14.25" customHeight="1" x14ac:dyDescent="0.55000000000000004">
      <c r="B421" s="1"/>
      <c r="I421" s="1"/>
      <c r="J421" s="1"/>
      <c r="K421" s="1"/>
    </row>
    <row r="422" spans="2:11" ht="14.25" customHeight="1" x14ac:dyDescent="0.55000000000000004">
      <c r="B422" s="1"/>
      <c r="I422" s="1"/>
      <c r="J422" s="1"/>
      <c r="K422" s="1"/>
    </row>
    <row r="423" spans="2:11" ht="14.25" customHeight="1" x14ac:dyDescent="0.55000000000000004">
      <c r="B423" s="1"/>
      <c r="I423" s="1"/>
      <c r="J423" s="1"/>
      <c r="K423" s="1"/>
    </row>
    <row r="424" spans="2:11" ht="14.25" customHeight="1" x14ac:dyDescent="0.55000000000000004">
      <c r="B424" s="1"/>
      <c r="I424" s="1"/>
      <c r="J424" s="1"/>
      <c r="K424" s="1"/>
    </row>
    <row r="425" spans="2:11" ht="14.25" customHeight="1" x14ac:dyDescent="0.55000000000000004">
      <c r="B425" s="1"/>
      <c r="I425" s="1"/>
      <c r="J425" s="1"/>
      <c r="K425" s="1"/>
    </row>
    <row r="426" spans="2:11" ht="14.25" customHeight="1" x14ac:dyDescent="0.55000000000000004">
      <c r="B426" s="1"/>
      <c r="I426" s="1"/>
      <c r="J426" s="1"/>
      <c r="K426" s="1"/>
    </row>
    <row r="427" spans="2:11" ht="14.25" customHeight="1" x14ac:dyDescent="0.55000000000000004">
      <c r="B427" s="1"/>
      <c r="I427" s="1"/>
      <c r="J427" s="1"/>
      <c r="K427" s="1"/>
    </row>
    <row r="428" spans="2:11" ht="14.25" customHeight="1" x14ac:dyDescent="0.55000000000000004">
      <c r="B428" s="1"/>
      <c r="I428" s="1"/>
      <c r="J428" s="1"/>
      <c r="K428" s="1"/>
    </row>
    <row r="429" spans="2:11" ht="14.25" customHeight="1" x14ac:dyDescent="0.55000000000000004">
      <c r="B429" s="1"/>
      <c r="I429" s="1"/>
      <c r="J429" s="1"/>
      <c r="K429" s="1"/>
    </row>
    <row r="430" spans="2:11" ht="14.25" customHeight="1" x14ac:dyDescent="0.55000000000000004">
      <c r="B430" s="1"/>
      <c r="I430" s="1"/>
      <c r="J430" s="1"/>
      <c r="K430" s="1"/>
    </row>
    <row r="431" spans="2:11" ht="14.25" customHeight="1" x14ac:dyDescent="0.55000000000000004">
      <c r="B431" s="1"/>
      <c r="I431" s="1"/>
      <c r="J431" s="1"/>
      <c r="K431" s="1"/>
    </row>
    <row r="432" spans="2:11" ht="14.25" customHeight="1" x14ac:dyDescent="0.55000000000000004">
      <c r="B432" s="1"/>
      <c r="I432" s="1"/>
      <c r="J432" s="1"/>
      <c r="K432" s="1"/>
    </row>
    <row r="433" spans="2:11" ht="14.25" customHeight="1" x14ac:dyDescent="0.55000000000000004">
      <c r="B433" s="1"/>
      <c r="I433" s="1"/>
      <c r="J433" s="1"/>
      <c r="K433" s="1"/>
    </row>
    <row r="434" spans="2:11" ht="14.25" customHeight="1" x14ac:dyDescent="0.55000000000000004">
      <c r="B434" s="1"/>
      <c r="I434" s="1"/>
      <c r="J434" s="1"/>
      <c r="K434" s="1"/>
    </row>
    <row r="435" spans="2:11" ht="14.25" customHeight="1" x14ac:dyDescent="0.55000000000000004">
      <c r="B435" s="1"/>
      <c r="I435" s="1"/>
      <c r="J435" s="1"/>
      <c r="K435" s="1"/>
    </row>
    <row r="436" spans="2:11" ht="14.25" customHeight="1" x14ac:dyDescent="0.55000000000000004">
      <c r="B436" s="1"/>
      <c r="I436" s="1"/>
      <c r="J436" s="1"/>
      <c r="K436" s="1"/>
    </row>
    <row r="437" spans="2:11" ht="14.25" customHeight="1" x14ac:dyDescent="0.55000000000000004">
      <c r="B437" s="1"/>
      <c r="I437" s="1"/>
      <c r="J437" s="1"/>
      <c r="K437" s="1"/>
    </row>
    <row r="438" spans="2:11" ht="14.25" customHeight="1" x14ac:dyDescent="0.55000000000000004">
      <c r="B438" s="1"/>
      <c r="I438" s="1"/>
      <c r="J438" s="1"/>
      <c r="K438" s="1"/>
    </row>
    <row r="439" spans="2:11" ht="14.25" customHeight="1" x14ac:dyDescent="0.55000000000000004">
      <c r="B439" s="1"/>
      <c r="I439" s="1"/>
      <c r="J439" s="1"/>
      <c r="K439" s="1"/>
    </row>
    <row r="440" spans="2:11" ht="14.25" customHeight="1" x14ac:dyDescent="0.55000000000000004">
      <c r="B440" s="1"/>
      <c r="I440" s="1"/>
      <c r="J440" s="1"/>
      <c r="K440" s="1"/>
    </row>
    <row r="441" spans="2:11" ht="14.25" customHeight="1" x14ac:dyDescent="0.55000000000000004">
      <c r="B441" s="1"/>
      <c r="I441" s="1"/>
      <c r="J441" s="1"/>
      <c r="K441" s="1"/>
    </row>
    <row r="442" spans="2:11" ht="14.25" customHeight="1" x14ac:dyDescent="0.55000000000000004">
      <c r="B442" s="1"/>
      <c r="I442" s="1"/>
      <c r="J442" s="1"/>
      <c r="K442" s="1"/>
    </row>
    <row r="443" spans="2:11" ht="14.25" customHeight="1" x14ac:dyDescent="0.55000000000000004">
      <c r="B443" s="1"/>
      <c r="I443" s="1"/>
      <c r="J443" s="1"/>
      <c r="K443" s="1"/>
    </row>
    <row r="444" spans="2:11" ht="14.25" customHeight="1" x14ac:dyDescent="0.55000000000000004">
      <c r="B444" s="1"/>
      <c r="I444" s="1"/>
      <c r="J444" s="1"/>
      <c r="K444" s="1"/>
    </row>
    <row r="445" spans="2:11" ht="14.25" customHeight="1" x14ac:dyDescent="0.55000000000000004">
      <c r="B445" s="1"/>
      <c r="I445" s="1"/>
      <c r="J445" s="1"/>
      <c r="K445" s="1"/>
    </row>
    <row r="446" spans="2:11" ht="14.25" customHeight="1" x14ac:dyDescent="0.55000000000000004">
      <c r="B446" s="1"/>
      <c r="I446" s="1"/>
      <c r="J446" s="1"/>
      <c r="K446" s="1"/>
    </row>
    <row r="447" spans="2:11" ht="14.25" customHeight="1" x14ac:dyDescent="0.55000000000000004">
      <c r="B447" s="1"/>
      <c r="I447" s="1"/>
      <c r="J447" s="1"/>
      <c r="K447" s="1"/>
    </row>
    <row r="448" spans="2:11" ht="14.25" customHeight="1" x14ac:dyDescent="0.55000000000000004">
      <c r="B448" s="1"/>
      <c r="I448" s="1"/>
      <c r="J448" s="1"/>
      <c r="K448" s="1"/>
    </row>
    <row r="449" spans="2:11" ht="14.25" customHeight="1" x14ac:dyDescent="0.55000000000000004">
      <c r="B449" s="1"/>
      <c r="I449" s="1"/>
      <c r="J449" s="1"/>
      <c r="K449" s="1"/>
    </row>
    <row r="450" spans="2:11" ht="14.25" customHeight="1" x14ac:dyDescent="0.55000000000000004">
      <c r="B450" s="1"/>
      <c r="I450" s="1"/>
      <c r="J450" s="1"/>
      <c r="K450" s="1"/>
    </row>
    <row r="451" spans="2:11" ht="14.25" customHeight="1" x14ac:dyDescent="0.55000000000000004">
      <c r="B451" s="1"/>
      <c r="I451" s="1"/>
      <c r="J451" s="1"/>
      <c r="K451" s="1"/>
    </row>
    <row r="452" spans="2:11" ht="14.25" customHeight="1" x14ac:dyDescent="0.55000000000000004">
      <c r="B452" s="1"/>
      <c r="I452" s="1"/>
      <c r="J452" s="1"/>
      <c r="K452" s="1"/>
    </row>
    <row r="453" spans="2:11" ht="14.25" customHeight="1" x14ac:dyDescent="0.55000000000000004">
      <c r="B453" s="1"/>
      <c r="I453" s="1"/>
      <c r="J453" s="1"/>
      <c r="K453" s="1"/>
    </row>
    <row r="454" spans="2:11" ht="14.25" customHeight="1" x14ac:dyDescent="0.55000000000000004">
      <c r="B454" s="1"/>
      <c r="I454" s="1"/>
      <c r="J454" s="1"/>
      <c r="K454" s="1"/>
    </row>
    <row r="455" spans="2:11" ht="14.25" customHeight="1" x14ac:dyDescent="0.55000000000000004">
      <c r="B455" s="1"/>
      <c r="I455" s="1"/>
      <c r="J455" s="1"/>
      <c r="K455" s="1"/>
    </row>
    <row r="456" spans="2:11" ht="14.25" customHeight="1" x14ac:dyDescent="0.55000000000000004">
      <c r="B456" s="1"/>
      <c r="I456" s="1"/>
      <c r="J456" s="1"/>
      <c r="K456" s="1"/>
    </row>
    <row r="457" spans="2:11" ht="14.25" customHeight="1" x14ac:dyDescent="0.55000000000000004">
      <c r="B457" s="1"/>
      <c r="I457" s="1"/>
      <c r="J457" s="1"/>
      <c r="K457" s="1"/>
    </row>
    <row r="458" spans="2:11" ht="14.25" customHeight="1" x14ac:dyDescent="0.55000000000000004">
      <c r="B458" s="1"/>
      <c r="I458" s="1"/>
      <c r="J458" s="1"/>
      <c r="K458" s="1"/>
    </row>
    <row r="459" spans="2:11" ht="14.25" customHeight="1" x14ac:dyDescent="0.55000000000000004">
      <c r="B459" s="1"/>
      <c r="I459" s="1"/>
      <c r="J459" s="1"/>
      <c r="K459" s="1"/>
    </row>
    <row r="460" spans="2:11" ht="14.25" customHeight="1" x14ac:dyDescent="0.55000000000000004">
      <c r="B460" s="1"/>
      <c r="I460" s="1"/>
      <c r="J460" s="1"/>
      <c r="K460" s="1"/>
    </row>
    <row r="461" spans="2:11" ht="14.25" customHeight="1" x14ac:dyDescent="0.55000000000000004">
      <c r="B461" s="1"/>
      <c r="I461" s="1"/>
      <c r="J461" s="1"/>
      <c r="K461" s="1"/>
    </row>
    <row r="462" spans="2:11" ht="14.25" customHeight="1" x14ac:dyDescent="0.55000000000000004">
      <c r="B462" s="1"/>
      <c r="I462" s="1"/>
      <c r="J462" s="1"/>
      <c r="K462" s="1"/>
    </row>
    <row r="463" spans="2:11" ht="14.25" customHeight="1" x14ac:dyDescent="0.55000000000000004">
      <c r="B463" s="1"/>
      <c r="I463" s="1"/>
      <c r="J463" s="1"/>
      <c r="K463" s="1"/>
    </row>
    <row r="464" spans="2:11" ht="14.25" customHeight="1" x14ac:dyDescent="0.55000000000000004">
      <c r="B464" s="1"/>
      <c r="I464" s="1"/>
      <c r="J464" s="1"/>
      <c r="K464" s="1"/>
    </row>
    <row r="465" spans="2:11" ht="14.25" customHeight="1" x14ac:dyDescent="0.55000000000000004">
      <c r="B465" s="1"/>
      <c r="I465" s="1"/>
      <c r="J465" s="1"/>
      <c r="K465" s="1"/>
    </row>
    <row r="466" spans="2:11" ht="14.25" customHeight="1" x14ac:dyDescent="0.55000000000000004">
      <c r="B466" s="1"/>
      <c r="I466" s="1"/>
      <c r="J466" s="1"/>
      <c r="K466" s="1"/>
    </row>
    <row r="467" spans="2:11" ht="14.25" customHeight="1" x14ac:dyDescent="0.55000000000000004">
      <c r="B467" s="1"/>
      <c r="I467" s="1"/>
      <c r="J467" s="1"/>
      <c r="K467" s="1"/>
    </row>
    <row r="468" spans="2:11" ht="14.25" customHeight="1" x14ac:dyDescent="0.55000000000000004">
      <c r="B468" s="1"/>
      <c r="I468" s="1"/>
      <c r="J468" s="1"/>
      <c r="K468" s="1"/>
    </row>
    <row r="469" spans="2:11" ht="14.25" customHeight="1" x14ac:dyDescent="0.55000000000000004">
      <c r="B469" s="1"/>
      <c r="I469" s="1"/>
      <c r="J469" s="1"/>
      <c r="K469" s="1"/>
    </row>
    <row r="470" spans="2:11" ht="14.25" customHeight="1" x14ac:dyDescent="0.55000000000000004">
      <c r="B470" s="1"/>
      <c r="I470" s="1"/>
      <c r="J470" s="1"/>
      <c r="K470" s="1"/>
    </row>
    <row r="471" spans="2:11" ht="14.25" customHeight="1" x14ac:dyDescent="0.55000000000000004">
      <c r="B471" s="1"/>
      <c r="I471" s="1"/>
      <c r="J471" s="1"/>
      <c r="K471" s="1"/>
    </row>
    <row r="472" spans="2:11" ht="14.25" customHeight="1" x14ac:dyDescent="0.55000000000000004">
      <c r="B472" s="1"/>
      <c r="I472" s="1"/>
      <c r="J472" s="1"/>
      <c r="K472" s="1"/>
    </row>
    <row r="473" spans="2:11" ht="14.25" customHeight="1" x14ac:dyDescent="0.55000000000000004">
      <c r="B473" s="1"/>
      <c r="I473" s="1"/>
      <c r="J473" s="1"/>
      <c r="K473" s="1"/>
    </row>
    <row r="474" spans="2:11" ht="14.25" customHeight="1" x14ac:dyDescent="0.55000000000000004">
      <c r="B474" s="1"/>
      <c r="I474" s="1"/>
      <c r="J474" s="1"/>
      <c r="K474" s="1"/>
    </row>
    <row r="475" spans="2:11" ht="14.25" customHeight="1" x14ac:dyDescent="0.55000000000000004">
      <c r="B475" s="1"/>
      <c r="I475" s="1"/>
      <c r="J475" s="1"/>
      <c r="K475" s="1"/>
    </row>
    <row r="476" spans="2:11" ht="14.25" customHeight="1" x14ac:dyDescent="0.55000000000000004">
      <c r="B476" s="1"/>
      <c r="I476" s="1"/>
      <c r="J476" s="1"/>
      <c r="K476" s="1"/>
    </row>
    <row r="477" spans="2:11" ht="14.25" customHeight="1" x14ac:dyDescent="0.55000000000000004">
      <c r="B477" s="1"/>
      <c r="I477" s="1"/>
      <c r="J477" s="1"/>
      <c r="K477" s="1"/>
    </row>
    <row r="478" spans="2:11" ht="14.25" customHeight="1" x14ac:dyDescent="0.55000000000000004">
      <c r="B478" s="1"/>
      <c r="I478" s="1"/>
      <c r="J478" s="1"/>
      <c r="K478" s="1"/>
    </row>
    <row r="479" spans="2:11" ht="14.25" customHeight="1" x14ac:dyDescent="0.55000000000000004">
      <c r="B479" s="1"/>
      <c r="I479" s="1"/>
      <c r="J479" s="1"/>
      <c r="K479" s="1"/>
    </row>
    <row r="480" spans="2:11" ht="14.25" customHeight="1" x14ac:dyDescent="0.55000000000000004">
      <c r="B480" s="1"/>
      <c r="I480" s="1"/>
      <c r="J480" s="1"/>
      <c r="K480" s="1"/>
    </row>
    <row r="481" spans="2:11" ht="14.25" customHeight="1" x14ac:dyDescent="0.55000000000000004">
      <c r="B481" s="1"/>
      <c r="I481" s="1"/>
      <c r="J481" s="1"/>
      <c r="K481" s="1"/>
    </row>
    <row r="482" spans="2:11" ht="14.25" customHeight="1" x14ac:dyDescent="0.55000000000000004">
      <c r="B482" s="1"/>
      <c r="I482" s="1"/>
      <c r="J482" s="1"/>
      <c r="K482" s="1"/>
    </row>
    <row r="483" spans="2:11" ht="14.25" customHeight="1" x14ac:dyDescent="0.55000000000000004">
      <c r="B483" s="1"/>
      <c r="I483" s="1"/>
      <c r="J483" s="1"/>
      <c r="K483" s="1"/>
    </row>
    <row r="484" spans="2:11" ht="14.25" customHeight="1" x14ac:dyDescent="0.55000000000000004">
      <c r="B484" s="1"/>
      <c r="I484" s="1"/>
      <c r="J484" s="1"/>
      <c r="K484" s="1"/>
    </row>
    <row r="485" spans="2:11" ht="14.25" customHeight="1" x14ac:dyDescent="0.55000000000000004">
      <c r="B485" s="1"/>
      <c r="I485" s="1"/>
      <c r="J485" s="1"/>
      <c r="K485" s="1"/>
    </row>
    <row r="486" spans="2:11" ht="14.25" customHeight="1" x14ac:dyDescent="0.55000000000000004">
      <c r="B486" s="1"/>
      <c r="I486" s="1"/>
      <c r="J486" s="1"/>
      <c r="K486" s="1"/>
    </row>
    <row r="487" spans="2:11" ht="14.25" customHeight="1" x14ac:dyDescent="0.55000000000000004">
      <c r="B487" s="1"/>
      <c r="I487" s="1"/>
      <c r="J487" s="1"/>
      <c r="K487" s="1"/>
    </row>
    <row r="488" spans="2:11" ht="14.25" customHeight="1" x14ac:dyDescent="0.55000000000000004">
      <c r="B488" s="1"/>
      <c r="I488" s="1"/>
      <c r="J488" s="1"/>
      <c r="K488" s="1"/>
    </row>
    <row r="489" spans="2:11" ht="14.25" customHeight="1" x14ac:dyDescent="0.55000000000000004">
      <c r="B489" s="1"/>
      <c r="I489" s="1"/>
      <c r="J489" s="1"/>
      <c r="K489" s="1"/>
    </row>
    <row r="490" spans="2:11" ht="14.25" customHeight="1" x14ac:dyDescent="0.55000000000000004">
      <c r="B490" s="1"/>
      <c r="I490" s="1"/>
      <c r="J490" s="1"/>
      <c r="K490" s="1"/>
    </row>
    <row r="491" spans="2:11" ht="14.25" customHeight="1" x14ac:dyDescent="0.55000000000000004">
      <c r="B491" s="1"/>
      <c r="I491" s="1"/>
      <c r="J491" s="1"/>
      <c r="K491" s="1"/>
    </row>
    <row r="492" spans="2:11" ht="14.25" customHeight="1" x14ac:dyDescent="0.55000000000000004">
      <c r="B492" s="1"/>
      <c r="I492" s="1"/>
      <c r="J492" s="1"/>
      <c r="K492" s="1"/>
    </row>
    <row r="493" spans="2:11" ht="14.25" customHeight="1" x14ac:dyDescent="0.55000000000000004">
      <c r="B493" s="1"/>
      <c r="I493" s="1"/>
      <c r="J493" s="1"/>
      <c r="K493" s="1"/>
    </row>
    <row r="494" spans="2:11" ht="14.25" customHeight="1" x14ac:dyDescent="0.55000000000000004">
      <c r="B494" s="1"/>
      <c r="I494" s="1"/>
      <c r="J494" s="1"/>
      <c r="K494" s="1"/>
    </row>
    <row r="495" spans="2:11" ht="14.25" customHeight="1" x14ac:dyDescent="0.55000000000000004">
      <c r="B495" s="1"/>
      <c r="I495" s="1"/>
      <c r="J495" s="1"/>
      <c r="K495" s="1"/>
    </row>
    <row r="496" spans="2:11" ht="14.25" customHeight="1" x14ac:dyDescent="0.55000000000000004">
      <c r="B496" s="1"/>
      <c r="I496" s="1"/>
      <c r="J496" s="1"/>
      <c r="K496" s="1"/>
    </row>
    <row r="497" spans="2:11" ht="14.25" customHeight="1" x14ac:dyDescent="0.55000000000000004">
      <c r="B497" s="1"/>
      <c r="I497" s="1"/>
      <c r="J497" s="1"/>
      <c r="K497" s="1"/>
    </row>
    <row r="498" spans="2:11" ht="14.25" customHeight="1" x14ac:dyDescent="0.55000000000000004">
      <c r="B498" s="1"/>
      <c r="I498" s="1"/>
      <c r="J498" s="1"/>
      <c r="K498" s="1"/>
    </row>
    <row r="499" spans="2:11" ht="14.25" customHeight="1" x14ac:dyDescent="0.55000000000000004">
      <c r="B499" s="1"/>
      <c r="I499" s="1"/>
      <c r="J499" s="1"/>
      <c r="K499" s="1"/>
    </row>
    <row r="500" spans="2:11" ht="14.25" customHeight="1" x14ac:dyDescent="0.55000000000000004">
      <c r="B500" s="1"/>
      <c r="I500" s="1"/>
      <c r="J500" s="1"/>
      <c r="K500" s="1"/>
    </row>
    <row r="501" spans="2:11" ht="14.25" customHeight="1" x14ac:dyDescent="0.55000000000000004">
      <c r="B501" s="1"/>
      <c r="I501" s="1"/>
      <c r="J501" s="1"/>
      <c r="K501" s="1"/>
    </row>
    <row r="502" spans="2:11" ht="14.25" customHeight="1" x14ac:dyDescent="0.55000000000000004">
      <c r="B502" s="1"/>
      <c r="I502" s="1"/>
      <c r="J502" s="1"/>
      <c r="K502" s="1"/>
    </row>
    <row r="503" spans="2:11" ht="14.25" customHeight="1" x14ac:dyDescent="0.55000000000000004">
      <c r="B503" s="1"/>
      <c r="I503" s="1"/>
      <c r="J503" s="1"/>
      <c r="K503" s="1"/>
    </row>
    <row r="504" spans="2:11" ht="14.25" customHeight="1" x14ac:dyDescent="0.55000000000000004">
      <c r="B504" s="1"/>
      <c r="I504" s="1"/>
      <c r="J504" s="1"/>
      <c r="K504" s="1"/>
    </row>
    <row r="505" spans="2:11" ht="14.25" customHeight="1" x14ac:dyDescent="0.55000000000000004">
      <c r="B505" s="1"/>
      <c r="I505" s="1"/>
      <c r="J505" s="1"/>
      <c r="K505" s="1"/>
    </row>
    <row r="506" spans="2:11" ht="14.25" customHeight="1" x14ac:dyDescent="0.55000000000000004">
      <c r="B506" s="1"/>
      <c r="I506" s="1"/>
      <c r="J506" s="1"/>
      <c r="K506" s="1"/>
    </row>
    <row r="507" spans="2:11" ht="14.25" customHeight="1" x14ac:dyDescent="0.55000000000000004">
      <c r="B507" s="1"/>
      <c r="I507" s="1"/>
      <c r="J507" s="1"/>
      <c r="K507" s="1"/>
    </row>
    <row r="508" spans="2:11" ht="14.25" customHeight="1" x14ac:dyDescent="0.55000000000000004">
      <c r="B508" s="1"/>
      <c r="I508" s="1"/>
      <c r="J508" s="1"/>
      <c r="K508" s="1"/>
    </row>
    <row r="509" spans="2:11" ht="14.25" customHeight="1" x14ac:dyDescent="0.55000000000000004">
      <c r="B509" s="1"/>
      <c r="I509" s="1"/>
      <c r="J509" s="1"/>
      <c r="K509" s="1"/>
    </row>
    <row r="510" spans="2:11" ht="14.25" customHeight="1" x14ac:dyDescent="0.55000000000000004">
      <c r="B510" s="1"/>
      <c r="I510" s="1"/>
      <c r="J510" s="1"/>
      <c r="K510" s="1"/>
    </row>
    <row r="511" spans="2:11" ht="14.25" customHeight="1" x14ac:dyDescent="0.55000000000000004">
      <c r="B511" s="1"/>
      <c r="I511" s="1"/>
      <c r="J511" s="1"/>
      <c r="K511" s="1"/>
    </row>
    <row r="512" spans="2:11" ht="14.25" customHeight="1" x14ac:dyDescent="0.55000000000000004">
      <c r="B512" s="1"/>
      <c r="I512" s="1"/>
      <c r="J512" s="1"/>
      <c r="K512" s="1"/>
    </row>
    <row r="513" spans="2:11" ht="14.25" customHeight="1" x14ac:dyDescent="0.55000000000000004">
      <c r="B513" s="1"/>
      <c r="I513" s="1"/>
      <c r="J513" s="1"/>
      <c r="K513" s="1"/>
    </row>
    <row r="514" spans="2:11" ht="14.25" customHeight="1" x14ac:dyDescent="0.55000000000000004">
      <c r="B514" s="1"/>
      <c r="I514" s="1"/>
      <c r="J514" s="1"/>
      <c r="K514" s="1"/>
    </row>
    <row r="515" spans="2:11" ht="14.25" customHeight="1" x14ac:dyDescent="0.55000000000000004">
      <c r="B515" s="1"/>
      <c r="I515" s="1"/>
      <c r="J515" s="1"/>
      <c r="K515" s="1"/>
    </row>
    <row r="516" spans="2:11" ht="14.25" customHeight="1" x14ac:dyDescent="0.55000000000000004">
      <c r="B516" s="1"/>
      <c r="I516" s="1"/>
      <c r="J516" s="1"/>
      <c r="K516" s="1"/>
    </row>
    <row r="517" spans="2:11" ht="14.25" customHeight="1" x14ac:dyDescent="0.55000000000000004">
      <c r="B517" s="1"/>
      <c r="I517" s="1"/>
      <c r="J517" s="1"/>
      <c r="K517" s="1"/>
    </row>
    <row r="518" spans="2:11" ht="14.25" customHeight="1" x14ac:dyDescent="0.55000000000000004">
      <c r="B518" s="1"/>
      <c r="I518" s="1"/>
      <c r="J518" s="1"/>
      <c r="K518" s="1"/>
    </row>
    <row r="519" spans="2:11" ht="14.25" customHeight="1" x14ac:dyDescent="0.55000000000000004">
      <c r="B519" s="1"/>
      <c r="I519" s="1"/>
      <c r="J519" s="1"/>
      <c r="K519" s="1"/>
    </row>
    <row r="520" spans="2:11" ht="14.25" customHeight="1" x14ac:dyDescent="0.55000000000000004">
      <c r="B520" s="1"/>
      <c r="I520" s="1"/>
      <c r="J520" s="1"/>
      <c r="K520" s="1"/>
    </row>
    <row r="521" spans="2:11" ht="14.25" customHeight="1" x14ac:dyDescent="0.55000000000000004">
      <c r="B521" s="1"/>
      <c r="I521" s="1"/>
      <c r="J521" s="1"/>
      <c r="K521" s="1"/>
    </row>
    <row r="522" spans="2:11" ht="14.25" customHeight="1" x14ac:dyDescent="0.55000000000000004">
      <c r="B522" s="1"/>
      <c r="I522" s="1"/>
      <c r="J522" s="1"/>
      <c r="K522" s="1"/>
    </row>
    <row r="523" spans="2:11" ht="14.25" customHeight="1" x14ac:dyDescent="0.55000000000000004">
      <c r="B523" s="1"/>
      <c r="I523" s="1"/>
      <c r="J523" s="1"/>
      <c r="K523" s="1"/>
    </row>
    <row r="524" spans="2:11" ht="14.25" customHeight="1" x14ac:dyDescent="0.55000000000000004">
      <c r="B524" s="1"/>
      <c r="I524" s="1"/>
      <c r="J524" s="1"/>
      <c r="K524" s="1"/>
    </row>
    <row r="525" spans="2:11" ht="14.25" customHeight="1" x14ac:dyDescent="0.55000000000000004">
      <c r="B525" s="1"/>
      <c r="I525" s="1"/>
      <c r="J525" s="1"/>
      <c r="K525" s="1"/>
    </row>
    <row r="526" spans="2:11" ht="14.25" customHeight="1" x14ac:dyDescent="0.55000000000000004">
      <c r="B526" s="1"/>
      <c r="I526" s="1"/>
      <c r="J526" s="1"/>
      <c r="K526" s="1"/>
    </row>
    <row r="527" spans="2:11" ht="14.25" customHeight="1" x14ac:dyDescent="0.55000000000000004">
      <c r="B527" s="1"/>
      <c r="I527" s="1"/>
      <c r="J527" s="1"/>
      <c r="K527" s="1"/>
    </row>
    <row r="528" spans="2:11" ht="14.25" customHeight="1" x14ac:dyDescent="0.55000000000000004">
      <c r="B528" s="1"/>
      <c r="I528" s="1"/>
      <c r="J528" s="1"/>
      <c r="K528" s="1"/>
    </row>
    <row r="529" spans="2:11" ht="14.25" customHeight="1" x14ac:dyDescent="0.55000000000000004">
      <c r="B529" s="1"/>
      <c r="I529" s="1"/>
      <c r="J529" s="1"/>
      <c r="K529" s="1"/>
    </row>
    <row r="530" spans="2:11" ht="14.25" customHeight="1" x14ac:dyDescent="0.55000000000000004">
      <c r="B530" s="1"/>
      <c r="I530" s="1"/>
      <c r="J530" s="1"/>
      <c r="K530" s="1"/>
    </row>
    <row r="531" spans="2:11" ht="14.25" customHeight="1" x14ac:dyDescent="0.55000000000000004">
      <c r="B531" s="1"/>
      <c r="I531" s="1"/>
      <c r="J531" s="1"/>
      <c r="K531" s="1"/>
    </row>
    <row r="532" spans="2:11" ht="14.25" customHeight="1" x14ac:dyDescent="0.55000000000000004">
      <c r="B532" s="1"/>
      <c r="I532" s="1"/>
      <c r="J532" s="1"/>
      <c r="K532" s="1"/>
    </row>
    <row r="533" spans="2:11" ht="14.25" customHeight="1" x14ac:dyDescent="0.55000000000000004">
      <c r="B533" s="1"/>
      <c r="I533" s="1"/>
      <c r="J533" s="1"/>
      <c r="K533" s="1"/>
    </row>
    <row r="534" spans="2:11" ht="14.25" customHeight="1" x14ac:dyDescent="0.55000000000000004">
      <c r="B534" s="1"/>
      <c r="I534" s="1"/>
      <c r="J534" s="1"/>
      <c r="K534" s="1"/>
    </row>
    <row r="535" spans="2:11" ht="14.25" customHeight="1" x14ac:dyDescent="0.55000000000000004">
      <c r="B535" s="1"/>
      <c r="I535" s="1"/>
      <c r="J535" s="1"/>
      <c r="K535" s="1"/>
    </row>
    <row r="536" spans="2:11" ht="14.25" customHeight="1" x14ac:dyDescent="0.55000000000000004">
      <c r="B536" s="1"/>
      <c r="I536" s="1"/>
      <c r="J536" s="1"/>
      <c r="K536" s="1"/>
    </row>
    <row r="537" spans="2:11" ht="14.25" customHeight="1" x14ac:dyDescent="0.55000000000000004">
      <c r="B537" s="1"/>
      <c r="I537" s="1"/>
      <c r="J537" s="1"/>
      <c r="K537" s="1"/>
    </row>
    <row r="538" spans="2:11" ht="14.25" customHeight="1" x14ac:dyDescent="0.55000000000000004">
      <c r="B538" s="1"/>
      <c r="I538" s="1"/>
      <c r="J538" s="1"/>
      <c r="K538" s="1"/>
    </row>
    <row r="539" spans="2:11" ht="14.25" customHeight="1" x14ac:dyDescent="0.55000000000000004">
      <c r="B539" s="1"/>
      <c r="I539" s="1"/>
      <c r="J539" s="1"/>
      <c r="K539" s="1"/>
    </row>
    <row r="540" spans="2:11" ht="14.25" customHeight="1" x14ac:dyDescent="0.55000000000000004">
      <c r="B540" s="1"/>
      <c r="I540" s="1"/>
      <c r="J540" s="1"/>
      <c r="K540" s="1"/>
    </row>
    <row r="541" spans="2:11" ht="14.25" customHeight="1" x14ac:dyDescent="0.55000000000000004">
      <c r="B541" s="1"/>
      <c r="I541" s="1"/>
      <c r="J541" s="1"/>
      <c r="K541" s="1"/>
    </row>
    <row r="542" spans="2:11" ht="14.25" customHeight="1" x14ac:dyDescent="0.55000000000000004">
      <c r="B542" s="1"/>
      <c r="I542" s="1"/>
      <c r="J542" s="1"/>
      <c r="K542" s="1"/>
    </row>
    <row r="543" spans="2:11" ht="14.25" customHeight="1" x14ac:dyDescent="0.55000000000000004">
      <c r="B543" s="1"/>
      <c r="I543" s="1"/>
      <c r="J543" s="1"/>
      <c r="K543" s="1"/>
    </row>
    <row r="544" spans="2:11" ht="14.25" customHeight="1" x14ac:dyDescent="0.55000000000000004">
      <c r="B544" s="1"/>
      <c r="I544" s="1"/>
      <c r="J544" s="1"/>
      <c r="K544" s="1"/>
    </row>
    <row r="545" spans="2:11" ht="14.25" customHeight="1" x14ac:dyDescent="0.55000000000000004">
      <c r="B545" s="1"/>
      <c r="I545" s="1"/>
      <c r="J545" s="1"/>
      <c r="K545" s="1"/>
    </row>
    <row r="546" spans="2:11" ht="14.25" customHeight="1" x14ac:dyDescent="0.55000000000000004">
      <c r="B546" s="1"/>
      <c r="I546" s="1"/>
      <c r="J546" s="1"/>
      <c r="K546" s="1"/>
    </row>
    <row r="547" spans="2:11" ht="14.25" customHeight="1" x14ac:dyDescent="0.55000000000000004">
      <c r="B547" s="1"/>
      <c r="I547" s="1"/>
      <c r="J547" s="1"/>
      <c r="K547" s="1"/>
    </row>
    <row r="548" spans="2:11" ht="14.25" customHeight="1" x14ac:dyDescent="0.55000000000000004">
      <c r="B548" s="1"/>
      <c r="I548" s="1"/>
      <c r="J548" s="1"/>
      <c r="K548" s="1"/>
    </row>
    <row r="549" spans="2:11" ht="14.25" customHeight="1" x14ac:dyDescent="0.55000000000000004">
      <c r="B549" s="1"/>
      <c r="I549" s="1"/>
      <c r="J549" s="1"/>
      <c r="K549" s="1"/>
    </row>
    <row r="550" spans="2:11" ht="14.25" customHeight="1" x14ac:dyDescent="0.55000000000000004">
      <c r="B550" s="1"/>
      <c r="I550" s="1"/>
      <c r="J550" s="1"/>
      <c r="K550" s="1"/>
    </row>
    <row r="551" spans="2:11" ht="14.25" customHeight="1" x14ac:dyDescent="0.55000000000000004">
      <c r="B551" s="1"/>
      <c r="I551" s="1"/>
      <c r="J551" s="1"/>
      <c r="K551" s="1"/>
    </row>
    <row r="552" spans="2:11" ht="14.25" customHeight="1" x14ac:dyDescent="0.55000000000000004">
      <c r="B552" s="1"/>
      <c r="I552" s="1"/>
      <c r="J552" s="1"/>
      <c r="K552" s="1"/>
    </row>
    <row r="553" spans="2:11" ht="14.25" customHeight="1" x14ac:dyDescent="0.55000000000000004">
      <c r="B553" s="1"/>
      <c r="I553" s="1"/>
      <c r="J553" s="1"/>
      <c r="K553" s="1"/>
    </row>
    <row r="554" spans="2:11" ht="14.25" customHeight="1" x14ac:dyDescent="0.55000000000000004">
      <c r="B554" s="1"/>
      <c r="I554" s="1"/>
      <c r="J554" s="1"/>
      <c r="K554" s="1"/>
    </row>
    <row r="555" spans="2:11" ht="14.25" customHeight="1" x14ac:dyDescent="0.55000000000000004">
      <c r="B555" s="1"/>
      <c r="I555" s="1"/>
      <c r="J555" s="1"/>
      <c r="K555" s="1"/>
    </row>
    <row r="556" spans="2:11" ht="14.25" customHeight="1" x14ac:dyDescent="0.55000000000000004">
      <c r="B556" s="1"/>
      <c r="I556" s="1"/>
      <c r="J556" s="1"/>
      <c r="K556" s="1"/>
    </row>
    <row r="557" spans="2:11" ht="14.25" customHeight="1" x14ac:dyDescent="0.55000000000000004">
      <c r="B557" s="1"/>
      <c r="I557" s="1"/>
      <c r="J557" s="1"/>
      <c r="K557" s="1"/>
    </row>
    <row r="558" spans="2:11" ht="14.25" customHeight="1" x14ac:dyDescent="0.55000000000000004">
      <c r="B558" s="1"/>
      <c r="I558" s="1"/>
      <c r="J558" s="1"/>
      <c r="K558" s="1"/>
    </row>
    <row r="559" spans="2:11" ht="14.25" customHeight="1" x14ac:dyDescent="0.55000000000000004">
      <c r="B559" s="1"/>
      <c r="I559" s="1"/>
      <c r="J559" s="1"/>
      <c r="K559" s="1"/>
    </row>
    <row r="560" spans="2:11" ht="14.25" customHeight="1" x14ac:dyDescent="0.55000000000000004">
      <c r="B560" s="1"/>
      <c r="I560" s="1"/>
      <c r="J560" s="1"/>
      <c r="K560" s="1"/>
    </row>
    <row r="561" spans="2:11" ht="14.25" customHeight="1" x14ac:dyDescent="0.55000000000000004">
      <c r="B561" s="1"/>
      <c r="I561" s="1"/>
      <c r="J561" s="1"/>
      <c r="K561" s="1"/>
    </row>
    <row r="562" spans="2:11" ht="14.25" customHeight="1" x14ac:dyDescent="0.55000000000000004">
      <c r="B562" s="1"/>
      <c r="I562" s="1"/>
      <c r="J562" s="1"/>
      <c r="K562" s="1"/>
    </row>
    <row r="563" spans="2:11" ht="14.25" customHeight="1" x14ac:dyDescent="0.55000000000000004">
      <c r="B563" s="1"/>
      <c r="I563" s="1"/>
      <c r="J563" s="1"/>
      <c r="K563" s="1"/>
    </row>
    <row r="564" spans="2:11" ht="14.25" customHeight="1" x14ac:dyDescent="0.55000000000000004">
      <c r="B564" s="1"/>
      <c r="I564" s="1"/>
      <c r="J564" s="1"/>
      <c r="K564" s="1"/>
    </row>
    <row r="565" spans="2:11" ht="14.25" customHeight="1" x14ac:dyDescent="0.55000000000000004">
      <c r="B565" s="1"/>
      <c r="I565" s="1"/>
      <c r="J565" s="1"/>
      <c r="K565" s="1"/>
    </row>
    <row r="566" spans="2:11" ht="14.25" customHeight="1" x14ac:dyDescent="0.55000000000000004">
      <c r="B566" s="1"/>
      <c r="I566" s="1"/>
      <c r="J566" s="1"/>
      <c r="K566" s="1"/>
    </row>
    <row r="567" spans="2:11" ht="14.25" customHeight="1" x14ac:dyDescent="0.55000000000000004">
      <c r="B567" s="1"/>
      <c r="I567" s="1"/>
      <c r="J567" s="1"/>
      <c r="K567" s="1"/>
    </row>
    <row r="568" spans="2:11" ht="14.25" customHeight="1" x14ac:dyDescent="0.55000000000000004">
      <c r="B568" s="1"/>
      <c r="I568" s="1"/>
      <c r="J568" s="1"/>
      <c r="K568" s="1"/>
    </row>
    <row r="569" spans="2:11" ht="14.25" customHeight="1" x14ac:dyDescent="0.55000000000000004">
      <c r="B569" s="1"/>
      <c r="I569" s="1"/>
      <c r="J569" s="1"/>
      <c r="K569" s="1"/>
    </row>
    <row r="570" spans="2:11" ht="14.25" customHeight="1" x14ac:dyDescent="0.55000000000000004">
      <c r="B570" s="1"/>
      <c r="I570" s="1"/>
      <c r="J570" s="1"/>
      <c r="K570" s="1"/>
    </row>
    <row r="571" spans="2:11" ht="14.25" customHeight="1" x14ac:dyDescent="0.55000000000000004">
      <c r="B571" s="1"/>
      <c r="I571" s="1"/>
      <c r="J571" s="1"/>
      <c r="K571" s="1"/>
    </row>
    <row r="572" spans="2:11" ht="14.25" customHeight="1" x14ac:dyDescent="0.55000000000000004">
      <c r="B572" s="1"/>
      <c r="I572" s="1"/>
      <c r="J572" s="1"/>
      <c r="K572" s="1"/>
    </row>
    <row r="573" spans="2:11" ht="14.25" customHeight="1" x14ac:dyDescent="0.55000000000000004">
      <c r="B573" s="1"/>
      <c r="I573" s="1"/>
      <c r="J573" s="1"/>
      <c r="K573" s="1"/>
    </row>
    <row r="574" spans="2:11" ht="14.25" customHeight="1" x14ac:dyDescent="0.55000000000000004">
      <c r="B574" s="1"/>
      <c r="I574" s="1"/>
      <c r="J574" s="1"/>
      <c r="K574" s="1"/>
    </row>
    <row r="575" spans="2:11" ht="14.25" customHeight="1" x14ac:dyDescent="0.55000000000000004">
      <c r="B575" s="1"/>
      <c r="I575" s="1"/>
      <c r="J575" s="1"/>
      <c r="K575" s="1"/>
    </row>
    <row r="576" spans="2:11" ht="14.25" customHeight="1" x14ac:dyDescent="0.55000000000000004">
      <c r="B576" s="1"/>
      <c r="I576" s="1"/>
      <c r="J576" s="1"/>
      <c r="K576" s="1"/>
    </row>
    <row r="577" spans="2:11" ht="14.25" customHeight="1" x14ac:dyDescent="0.55000000000000004">
      <c r="B577" s="1"/>
      <c r="I577" s="1"/>
      <c r="J577" s="1"/>
      <c r="K577" s="1"/>
    </row>
    <row r="578" spans="2:11" ht="14.25" customHeight="1" x14ac:dyDescent="0.55000000000000004">
      <c r="B578" s="1"/>
      <c r="I578" s="1"/>
      <c r="J578" s="1"/>
      <c r="K578" s="1"/>
    </row>
    <row r="579" spans="2:11" ht="14.25" customHeight="1" x14ac:dyDescent="0.55000000000000004">
      <c r="B579" s="1"/>
      <c r="I579" s="1"/>
      <c r="J579" s="1"/>
      <c r="K579" s="1"/>
    </row>
    <row r="580" spans="2:11" ht="14.25" customHeight="1" x14ac:dyDescent="0.55000000000000004">
      <c r="B580" s="1"/>
      <c r="I580" s="1"/>
      <c r="J580" s="1"/>
      <c r="K580" s="1"/>
    </row>
    <row r="581" spans="2:11" ht="14.25" customHeight="1" x14ac:dyDescent="0.55000000000000004">
      <c r="B581" s="1"/>
      <c r="I581" s="1"/>
      <c r="J581" s="1"/>
      <c r="K581" s="1"/>
    </row>
    <row r="582" spans="2:11" ht="14.25" customHeight="1" x14ac:dyDescent="0.55000000000000004">
      <c r="B582" s="1"/>
      <c r="I582" s="1"/>
      <c r="J582" s="1"/>
      <c r="K582" s="1"/>
    </row>
    <row r="583" spans="2:11" ht="14.25" customHeight="1" x14ac:dyDescent="0.55000000000000004">
      <c r="B583" s="1"/>
      <c r="I583" s="1"/>
      <c r="J583" s="1"/>
      <c r="K583" s="1"/>
    </row>
    <row r="584" spans="2:11" ht="14.25" customHeight="1" x14ac:dyDescent="0.55000000000000004">
      <c r="B584" s="1"/>
      <c r="I584" s="1"/>
      <c r="J584" s="1"/>
      <c r="K584" s="1"/>
    </row>
    <row r="585" spans="2:11" ht="14.25" customHeight="1" x14ac:dyDescent="0.55000000000000004">
      <c r="B585" s="1"/>
      <c r="I585" s="1"/>
      <c r="J585" s="1"/>
      <c r="K585" s="1"/>
    </row>
    <row r="586" spans="2:11" ht="14.25" customHeight="1" x14ac:dyDescent="0.55000000000000004">
      <c r="B586" s="1"/>
      <c r="I586" s="1"/>
      <c r="J586" s="1"/>
      <c r="K586" s="1"/>
    </row>
    <row r="587" spans="2:11" ht="14.25" customHeight="1" x14ac:dyDescent="0.55000000000000004">
      <c r="B587" s="1"/>
      <c r="I587" s="1"/>
      <c r="J587" s="1"/>
      <c r="K587" s="1"/>
    </row>
    <row r="588" spans="2:11" ht="14.25" customHeight="1" x14ac:dyDescent="0.55000000000000004">
      <c r="B588" s="1"/>
      <c r="I588" s="1"/>
      <c r="J588" s="1"/>
      <c r="K588" s="1"/>
    </row>
    <row r="589" spans="2:11" ht="14.25" customHeight="1" x14ac:dyDescent="0.55000000000000004">
      <c r="B589" s="1"/>
      <c r="I589" s="1"/>
      <c r="J589" s="1"/>
      <c r="K589" s="1"/>
    </row>
    <row r="590" spans="2:11" ht="14.25" customHeight="1" x14ac:dyDescent="0.55000000000000004">
      <c r="B590" s="1"/>
      <c r="I590" s="1"/>
      <c r="J590" s="1"/>
      <c r="K590" s="1"/>
    </row>
    <row r="591" spans="2:11" ht="14.25" customHeight="1" x14ac:dyDescent="0.55000000000000004">
      <c r="B591" s="1"/>
      <c r="I591" s="1"/>
      <c r="J591" s="1"/>
      <c r="K591" s="1"/>
    </row>
    <row r="592" spans="2:11" ht="14.25" customHeight="1" x14ac:dyDescent="0.55000000000000004">
      <c r="B592" s="1"/>
      <c r="I592" s="1"/>
      <c r="J592" s="1"/>
      <c r="K592" s="1"/>
    </row>
    <row r="593" spans="2:11" ht="14.25" customHeight="1" x14ac:dyDescent="0.55000000000000004">
      <c r="B593" s="1"/>
      <c r="I593" s="1"/>
      <c r="J593" s="1"/>
      <c r="K593" s="1"/>
    </row>
    <row r="594" spans="2:11" ht="14.25" customHeight="1" x14ac:dyDescent="0.55000000000000004">
      <c r="B594" s="1"/>
      <c r="I594" s="1"/>
      <c r="J594" s="1"/>
      <c r="K594" s="1"/>
    </row>
    <row r="595" spans="2:11" ht="14.25" customHeight="1" x14ac:dyDescent="0.55000000000000004">
      <c r="B595" s="1"/>
      <c r="I595" s="1"/>
      <c r="J595" s="1"/>
      <c r="K595" s="1"/>
    </row>
    <row r="596" spans="2:11" ht="14.25" customHeight="1" x14ac:dyDescent="0.55000000000000004">
      <c r="B596" s="1"/>
      <c r="I596" s="1"/>
      <c r="J596" s="1"/>
      <c r="K596" s="1"/>
    </row>
    <row r="597" spans="2:11" ht="14.25" customHeight="1" x14ac:dyDescent="0.55000000000000004">
      <c r="B597" s="1"/>
      <c r="I597" s="1"/>
      <c r="J597" s="1"/>
      <c r="K597" s="1"/>
    </row>
    <row r="598" spans="2:11" ht="14.25" customHeight="1" x14ac:dyDescent="0.55000000000000004">
      <c r="B598" s="1"/>
      <c r="I598" s="1"/>
      <c r="J598" s="1"/>
      <c r="K598" s="1"/>
    </row>
    <row r="599" spans="2:11" ht="14.25" customHeight="1" x14ac:dyDescent="0.55000000000000004">
      <c r="B599" s="1"/>
      <c r="I599" s="1"/>
      <c r="J599" s="1"/>
      <c r="K599" s="1"/>
    </row>
    <row r="600" spans="2:11" ht="14.25" customHeight="1" x14ac:dyDescent="0.55000000000000004">
      <c r="B600" s="1"/>
      <c r="I600" s="1"/>
      <c r="J600" s="1"/>
      <c r="K600" s="1"/>
    </row>
    <row r="601" spans="2:11" ht="14.25" customHeight="1" x14ac:dyDescent="0.55000000000000004">
      <c r="B601" s="1"/>
      <c r="I601" s="1"/>
      <c r="J601" s="1"/>
      <c r="K601" s="1"/>
    </row>
    <row r="602" spans="2:11" ht="14.25" customHeight="1" x14ac:dyDescent="0.55000000000000004">
      <c r="B602" s="1"/>
      <c r="I602" s="1"/>
      <c r="J602" s="1"/>
      <c r="K602" s="1"/>
    </row>
    <row r="603" spans="2:11" ht="14.25" customHeight="1" x14ac:dyDescent="0.55000000000000004">
      <c r="B603" s="1"/>
      <c r="I603" s="1"/>
      <c r="J603" s="1"/>
      <c r="K603" s="1"/>
    </row>
    <row r="604" spans="2:11" ht="14.25" customHeight="1" x14ac:dyDescent="0.55000000000000004">
      <c r="B604" s="1"/>
      <c r="I604" s="1"/>
      <c r="J604" s="1"/>
      <c r="K604" s="1"/>
    </row>
    <row r="605" spans="2:11" ht="14.25" customHeight="1" x14ac:dyDescent="0.55000000000000004">
      <c r="B605" s="1"/>
      <c r="I605" s="1"/>
      <c r="J605" s="1"/>
      <c r="K605" s="1"/>
    </row>
    <row r="606" spans="2:11" ht="14.25" customHeight="1" x14ac:dyDescent="0.55000000000000004">
      <c r="B606" s="1"/>
      <c r="I606" s="1"/>
      <c r="J606" s="1"/>
      <c r="K606" s="1"/>
    </row>
    <row r="607" spans="2:11" ht="14.25" customHeight="1" x14ac:dyDescent="0.55000000000000004">
      <c r="B607" s="1"/>
      <c r="I607" s="1"/>
      <c r="J607" s="1"/>
      <c r="K607" s="1"/>
    </row>
    <row r="608" spans="2:11" ht="14.25" customHeight="1" x14ac:dyDescent="0.55000000000000004">
      <c r="B608" s="1"/>
      <c r="I608" s="1"/>
      <c r="J608" s="1"/>
      <c r="K608" s="1"/>
    </row>
    <row r="609" spans="2:11" ht="14.25" customHeight="1" x14ac:dyDescent="0.55000000000000004">
      <c r="B609" s="1"/>
      <c r="I609" s="1"/>
      <c r="J609" s="1"/>
      <c r="K609" s="1"/>
    </row>
    <row r="610" spans="2:11" ht="14.25" customHeight="1" x14ac:dyDescent="0.55000000000000004">
      <c r="B610" s="1"/>
      <c r="I610" s="1"/>
      <c r="J610" s="1"/>
      <c r="K610" s="1"/>
    </row>
    <row r="611" spans="2:11" ht="14.25" customHeight="1" x14ac:dyDescent="0.55000000000000004">
      <c r="B611" s="1"/>
      <c r="I611" s="1"/>
      <c r="J611" s="1"/>
      <c r="K611" s="1"/>
    </row>
    <row r="612" spans="2:11" ht="14.25" customHeight="1" x14ac:dyDescent="0.55000000000000004">
      <c r="B612" s="1"/>
      <c r="I612" s="1"/>
      <c r="J612" s="1"/>
      <c r="K612" s="1"/>
    </row>
    <row r="613" spans="2:11" ht="14.25" customHeight="1" x14ac:dyDescent="0.55000000000000004">
      <c r="B613" s="1"/>
      <c r="I613" s="1"/>
      <c r="J613" s="1"/>
      <c r="K613" s="1"/>
    </row>
    <row r="614" spans="2:11" ht="14.25" customHeight="1" x14ac:dyDescent="0.55000000000000004">
      <c r="B614" s="1"/>
      <c r="I614" s="1"/>
      <c r="J614" s="1"/>
      <c r="K614" s="1"/>
    </row>
    <row r="615" spans="2:11" ht="14.25" customHeight="1" x14ac:dyDescent="0.55000000000000004">
      <c r="B615" s="1"/>
      <c r="I615" s="1"/>
      <c r="J615" s="1"/>
      <c r="K615" s="1"/>
    </row>
    <row r="616" spans="2:11" ht="14.25" customHeight="1" x14ac:dyDescent="0.55000000000000004">
      <c r="B616" s="1"/>
      <c r="I616" s="1"/>
      <c r="J616" s="1"/>
      <c r="K616" s="1"/>
    </row>
    <row r="617" spans="2:11" ht="14.25" customHeight="1" x14ac:dyDescent="0.55000000000000004">
      <c r="B617" s="1"/>
      <c r="I617" s="1"/>
      <c r="J617" s="1"/>
      <c r="K617" s="1"/>
    </row>
    <row r="618" spans="2:11" ht="14.25" customHeight="1" x14ac:dyDescent="0.55000000000000004">
      <c r="B618" s="1"/>
      <c r="I618" s="1"/>
      <c r="J618" s="1"/>
      <c r="K618" s="1"/>
    </row>
    <row r="619" spans="2:11" ht="14.25" customHeight="1" x14ac:dyDescent="0.55000000000000004">
      <c r="B619" s="1"/>
      <c r="I619" s="1"/>
      <c r="J619" s="1"/>
      <c r="K619" s="1"/>
    </row>
    <row r="620" spans="2:11" ht="14.25" customHeight="1" x14ac:dyDescent="0.55000000000000004">
      <c r="B620" s="1"/>
      <c r="I620" s="1"/>
      <c r="J620" s="1"/>
      <c r="K620" s="1"/>
    </row>
    <row r="621" spans="2:11" ht="14.25" customHeight="1" x14ac:dyDescent="0.55000000000000004">
      <c r="B621" s="1"/>
      <c r="I621" s="1"/>
      <c r="J621" s="1"/>
      <c r="K621" s="1"/>
    </row>
    <row r="622" spans="2:11" ht="14.25" customHeight="1" x14ac:dyDescent="0.55000000000000004">
      <c r="B622" s="1"/>
      <c r="I622" s="1"/>
      <c r="J622" s="1"/>
      <c r="K622" s="1"/>
    </row>
    <row r="623" spans="2:11" ht="14.25" customHeight="1" x14ac:dyDescent="0.55000000000000004">
      <c r="B623" s="1"/>
      <c r="I623" s="1"/>
      <c r="J623" s="1"/>
      <c r="K623" s="1"/>
    </row>
    <row r="624" spans="2:11" ht="14.25" customHeight="1" x14ac:dyDescent="0.55000000000000004">
      <c r="B624" s="1"/>
      <c r="I624" s="1"/>
      <c r="J624" s="1"/>
      <c r="K624" s="1"/>
    </row>
    <row r="625" spans="2:11" ht="14.25" customHeight="1" x14ac:dyDescent="0.55000000000000004">
      <c r="B625" s="1"/>
      <c r="I625" s="1"/>
      <c r="J625" s="1"/>
      <c r="K625" s="1"/>
    </row>
    <row r="626" spans="2:11" ht="14.25" customHeight="1" x14ac:dyDescent="0.55000000000000004">
      <c r="B626" s="1"/>
      <c r="I626" s="1"/>
      <c r="J626" s="1"/>
      <c r="K626" s="1"/>
    </row>
    <row r="627" spans="2:11" ht="14.25" customHeight="1" x14ac:dyDescent="0.55000000000000004">
      <c r="B627" s="1"/>
      <c r="I627" s="1"/>
      <c r="J627" s="1"/>
      <c r="K627" s="1"/>
    </row>
    <row r="628" spans="2:11" ht="14.25" customHeight="1" x14ac:dyDescent="0.55000000000000004">
      <c r="B628" s="1"/>
      <c r="I628" s="1"/>
      <c r="J628" s="1"/>
      <c r="K628" s="1"/>
    </row>
    <row r="629" spans="2:11" ht="14.25" customHeight="1" x14ac:dyDescent="0.55000000000000004">
      <c r="B629" s="1"/>
      <c r="I629" s="1"/>
      <c r="J629" s="1"/>
      <c r="K629" s="1"/>
    </row>
    <row r="630" spans="2:11" ht="14.25" customHeight="1" x14ac:dyDescent="0.55000000000000004">
      <c r="B630" s="1"/>
      <c r="I630" s="1"/>
      <c r="J630" s="1"/>
      <c r="K630" s="1"/>
    </row>
    <row r="631" spans="2:11" ht="14.25" customHeight="1" x14ac:dyDescent="0.55000000000000004">
      <c r="B631" s="1"/>
      <c r="I631" s="1"/>
      <c r="J631" s="1"/>
      <c r="K631" s="1"/>
    </row>
    <row r="632" spans="2:11" ht="14.25" customHeight="1" x14ac:dyDescent="0.55000000000000004">
      <c r="B632" s="1"/>
      <c r="I632" s="1"/>
      <c r="J632" s="1"/>
      <c r="K632" s="1"/>
    </row>
    <row r="633" spans="2:11" ht="14.25" customHeight="1" x14ac:dyDescent="0.55000000000000004">
      <c r="B633" s="1"/>
      <c r="I633" s="1"/>
      <c r="J633" s="1"/>
      <c r="K633" s="1"/>
    </row>
    <row r="634" spans="2:11" ht="14.25" customHeight="1" x14ac:dyDescent="0.55000000000000004">
      <c r="B634" s="1"/>
      <c r="I634" s="1"/>
      <c r="J634" s="1"/>
      <c r="K634" s="1"/>
    </row>
    <row r="635" spans="2:11" ht="14.25" customHeight="1" x14ac:dyDescent="0.55000000000000004">
      <c r="B635" s="1"/>
      <c r="I635" s="1"/>
      <c r="J635" s="1"/>
      <c r="K635" s="1"/>
    </row>
    <row r="636" spans="2:11" ht="14.25" customHeight="1" x14ac:dyDescent="0.55000000000000004">
      <c r="B636" s="1"/>
      <c r="I636" s="1"/>
      <c r="J636" s="1"/>
      <c r="K636" s="1"/>
    </row>
    <row r="637" spans="2:11" ht="14.25" customHeight="1" x14ac:dyDescent="0.55000000000000004">
      <c r="B637" s="1"/>
      <c r="I637" s="1"/>
      <c r="J637" s="1"/>
      <c r="K637" s="1"/>
    </row>
    <row r="638" spans="2:11" ht="14.25" customHeight="1" x14ac:dyDescent="0.55000000000000004">
      <c r="B638" s="1"/>
      <c r="I638" s="1"/>
      <c r="J638" s="1"/>
      <c r="K638" s="1"/>
    </row>
    <row r="639" spans="2:11" ht="14.25" customHeight="1" x14ac:dyDescent="0.55000000000000004">
      <c r="B639" s="1"/>
      <c r="I639" s="1"/>
      <c r="J639" s="1"/>
      <c r="K639" s="1"/>
    </row>
    <row r="640" spans="2:11" ht="14.25" customHeight="1" x14ac:dyDescent="0.55000000000000004">
      <c r="B640" s="1"/>
      <c r="I640" s="1"/>
      <c r="J640" s="1"/>
      <c r="K640" s="1"/>
    </row>
    <row r="641" spans="2:11" ht="14.25" customHeight="1" x14ac:dyDescent="0.55000000000000004">
      <c r="B641" s="1"/>
      <c r="I641" s="1"/>
      <c r="J641" s="1"/>
      <c r="K641" s="1"/>
    </row>
    <row r="642" spans="2:11" ht="14.25" customHeight="1" x14ac:dyDescent="0.55000000000000004">
      <c r="B642" s="1"/>
      <c r="I642" s="1"/>
      <c r="J642" s="1"/>
      <c r="K642" s="1"/>
    </row>
    <row r="643" spans="2:11" ht="14.25" customHeight="1" x14ac:dyDescent="0.55000000000000004">
      <c r="B643" s="1"/>
      <c r="I643" s="1"/>
      <c r="J643" s="1"/>
      <c r="K643" s="1"/>
    </row>
    <row r="644" spans="2:11" ht="14.25" customHeight="1" x14ac:dyDescent="0.55000000000000004">
      <c r="B644" s="1"/>
      <c r="I644" s="1"/>
      <c r="J644" s="1"/>
      <c r="K644" s="1"/>
    </row>
    <row r="645" spans="2:11" ht="14.25" customHeight="1" x14ac:dyDescent="0.55000000000000004">
      <c r="B645" s="1"/>
      <c r="I645" s="1"/>
      <c r="J645" s="1"/>
      <c r="K645" s="1"/>
    </row>
    <row r="646" spans="2:11" ht="14.25" customHeight="1" x14ac:dyDescent="0.55000000000000004">
      <c r="B646" s="1"/>
      <c r="I646" s="1"/>
      <c r="J646" s="1"/>
      <c r="K646" s="1"/>
    </row>
    <row r="647" spans="2:11" ht="14.25" customHeight="1" x14ac:dyDescent="0.55000000000000004">
      <c r="B647" s="1"/>
      <c r="I647" s="1"/>
      <c r="J647" s="1"/>
      <c r="K647" s="1"/>
    </row>
    <row r="648" spans="2:11" ht="14.25" customHeight="1" x14ac:dyDescent="0.55000000000000004">
      <c r="B648" s="1"/>
      <c r="I648" s="1"/>
      <c r="J648" s="1"/>
      <c r="K648" s="1"/>
    </row>
    <row r="649" spans="2:11" ht="14.25" customHeight="1" x14ac:dyDescent="0.55000000000000004">
      <c r="B649" s="1"/>
      <c r="I649" s="1"/>
      <c r="J649" s="1"/>
      <c r="K649" s="1"/>
    </row>
    <row r="650" spans="2:11" ht="14.25" customHeight="1" x14ac:dyDescent="0.55000000000000004">
      <c r="B650" s="1"/>
      <c r="I650" s="1"/>
      <c r="J650" s="1"/>
      <c r="K650" s="1"/>
    </row>
    <row r="651" spans="2:11" ht="14.25" customHeight="1" x14ac:dyDescent="0.55000000000000004">
      <c r="B651" s="1"/>
      <c r="I651" s="1"/>
      <c r="J651" s="1"/>
      <c r="K651" s="1"/>
    </row>
    <row r="652" spans="2:11" ht="14.25" customHeight="1" x14ac:dyDescent="0.55000000000000004">
      <c r="B652" s="1"/>
      <c r="I652" s="1"/>
      <c r="J652" s="1"/>
      <c r="K652" s="1"/>
    </row>
    <row r="653" spans="2:11" ht="14.25" customHeight="1" x14ac:dyDescent="0.55000000000000004">
      <c r="B653" s="1"/>
      <c r="I653" s="1"/>
      <c r="J653" s="1"/>
      <c r="K653" s="1"/>
    </row>
    <row r="654" spans="2:11" ht="14.25" customHeight="1" x14ac:dyDescent="0.55000000000000004">
      <c r="B654" s="1"/>
      <c r="I654" s="1"/>
      <c r="J654" s="1"/>
      <c r="K654" s="1"/>
    </row>
    <row r="655" spans="2:11" ht="14.25" customHeight="1" x14ac:dyDescent="0.55000000000000004">
      <c r="B655" s="1"/>
      <c r="I655" s="1"/>
      <c r="J655" s="1"/>
      <c r="K655" s="1"/>
    </row>
    <row r="656" spans="2:11" ht="14.25" customHeight="1" x14ac:dyDescent="0.55000000000000004">
      <c r="B656" s="1"/>
      <c r="I656" s="1"/>
      <c r="J656" s="1"/>
      <c r="K656" s="1"/>
    </row>
    <row r="657" spans="2:11" ht="14.25" customHeight="1" x14ac:dyDescent="0.55000000000000004">
      <c r="B657" s="1"/>
      <c r="I657" s="1"/>
      <c r="J657" s="1"/>
      <c r="K657" s="1"/>
    </row>
    <row r="658" spans="2:11" ht="14.25" customHeight="1" x14ac:dyDescent="0.55000000000000004">
      <c r="B658" s="1"/>
      <c r="I658" s="1"/>
      <c r="J658" s="1"/>
      <c r="K658" s="1"/>
    </row>
    <row r="659" spans="2:11" ht="14.25" customHeight="1" x14ac:dyDescent="0.55000000000000004">
      <c r="B659" s="1"/>
      <c r="I659" s="1"/>
      <c r="J659" s="1"/>
      <c r="K659" s="1"/>
    </row>
    <row r="660" spans="2:11" ht="14.25" customHeight="1" x14ac:dyDescent="0.55000000000000004">
      <c r="B660" s="1"/>
      <c r="I660" s="1"/>
      <c r="J660" s="1"/>
      <c r="K660" s="1"/>
    </row>
    <row r="661" spans="2:11" ht="14.25" customHeight="1" x14ac:dyDescent="0.55000000000000004">
      <c r="B661" s="1"/>
      <c r="I661" s="1"/>
      <c r="J661" s="1"/>
      <c r="K661" s="1"/>
    </row>
    <row r="662" spans="2:11" ht="14.25" customHeight="1" x14ac:dyDescent="0.55000000000000004">
      <c r="B662" s="1"/>
      <c r="I662" s="1"/>
      <c r="J662" s="1"/>
      <c r="K662" s="1"/>
    </row>
    <row r="663" spans="2:11" ht="14.25" customHeight="1" x14ac:dyDescent="0.55000000000000004">
      <c r="B663" s="1"/>
      <c r="I663" s="1"/>
      <c r="J663" s="1"/>
      <c r="K663" s="1"/>
    </row>
    <row r="664" spans="2:11" ht="14.25" customHeight="1" x14ac:dyDescent="0.55000000000000004">
      <c r="B664" s="1"/>
      <c r="I664" s="1"/>
      <c r="J664" s="1"/>
      <c r="K664" s="1"/>
    </row>
    <row r="665" spans="2:11" ht="14.25" customHeight="1" x14ac:dyDescent="0.55000000000000004">
      <c r="B665" s="1"/>
      <c r="I665" s="1"/>
      <c r="J665" s="1"/>
      <c r="K665" s="1"/>
    </row>
    <row r="666" spans="2:11" ht="14.25" customHeight="1" x14ac:dyDescent="0.55000000000000004">
      <c r="B666" s="1"/>
      <c r="I666" s="1"/>
      <c r="J666" s="1"/>
      <c r="K666" s="1"/>
    </row>
    <row r="667" spans="2:11" ht="14.25" customHeight="1" x14ac:dyDescent="0.55000000000000004">
      <c r="B667" s="1"/>
      <c r="I667" s="1"/>
      <c r="J667" s="1"/>
      <c r="K667" s="1"/>
    </row>
    <row r="668" spans="2:11" ht="14.25" customHeight="1" x14ac:dyDescent="0.55000000000000004">
      <c r="B668" s="1"/>
      <c r="I668" s="1"/>
      <c r="J668" s="1"/>
      <c r="K668" s="1"/>
    </row>
    <row r="669" spans="2:11" ht="14.25" customHeight="1" x14ac:dyDescent="0.55000000000000004">
      <c r="B669" s="1"/>
      <c r="I669" s="1"/>
      <c r="J669" s="1"/>
      <c r="K669" s="1"/>
    </row>
    <row r="670" spans="2:11" ht="14.25" customHeight="1" x14ac:dyDescent="0.55000000000000004">
      <c r="B670" s="1"/>
      <c r="I670" s="1"/>
      <c r="J670" s="1"/>
      <c r="K670" s="1"/>
    </row>
    <row r="671" spans="2:11" ht="14.25" customHeight="1" x14ac:dyDescent="0.55000000000000004">
      <c r="B671" s="1"/>
      <c r="I671" s="1"/>
      <c r="J671" s="1"/>
      <c r="K671" s="1"/>
    </row>
    <row r="672" spans="2:11" ht="14.25" customHeight="1" x14ac:dyDescent="0.55000000000000004">
      <c r="B672" s="1"/>
      <c r="I672" s="1"/>
      <c r="J672" s="1"/>
      <c r="K672" s="1"/>
    </row>
    <row r="673" spans="2:11" ht="14.25" customHeight="1" x14ac:dyDescent="0.55000000000000004">
      <c r="B673" s="1"/>
      <c r="I673" s="1"/>
      <c r="J673" s="1"/>
      <c r="K673" s="1"/>
    </row>
    <row r="674" spans="2:11" ht="14.25" customHeight="1" x14ac:dyDescent="0.55000000000000004">
      <c r="B674" s="1"/>
      <c r="I674" s="1"/>
      <c r="J674" s="1"/>
      <c r="K674" s="1"/>
    </row>
    <row r="675" spans="2:11" ht="14.25" customHeight="1" x14ac:dyDescent="0.55000000000000004">
      <c r="B675" s="1"/>
      <c r="I675" s="1"/>
      <c r="J675" s="1"/>
      <c r="K675" s="1"/>
    </row>
    <row r="676" spans="2:11" ht="14.25" customHeight="1" x14ac:dyDescent="0.55000000000000004">
      <c r="B676" s="1"/>
      <c r="I676" s="1"/>
      <c r="J676" s="1"/>
      <c r="K676" s="1"/>
    </row>
    <row r="677" spans="2:11" ht="14.25" customHeight="1" x14ac:dyDescent="0.55000000000000004">
      <c r="B677" s="1"/>
      <c r="I677" s="1"/>
      <c r="J677" s="1"/>
      <c r="K677" s="1"/>
    </row>
    <row r="678" spans="2:11" ht="14.25" customHeight="1" x14ac:dyDescent="0.55000000000000004">
      <c r="B678" s="1"/>
      <c r="I678" s="1"/>
      <c r="J678" s="1"/>
      <c r="K678" s="1"/>
    </row>
    <row r="679" spans="2:11" ht="14.25" customHeight="1" x14ac:dyDescent="0.55000000000000004">
      <c r="B679" s="1"/>
      <c r="I679" s="1"/>
      <c r="J679" s="1"/>
      <c r="K679" s="1"/>
    </row>
    <row r="680" spans="2:11" ht="14.25" customHeight="1" x14ac:dyDescent="0.55000000000000004">
      <c r="B680" s="1"/>
      <c r="I680" s="1"/>
      <c r="J680" s="1"/>
      <c r="K680" s="1"/>
    </row>
    <row r="681" spans="2:11" ht="14.25" customHeight="1" x14ac:dyDescent="0.55000000000000004">
      <c r="B681" s="1"/>
      <c r="I681" s="1"/>
      <c r="J681" s="1"/>
      <c r="K681" s="1"/>
    </row>
    <row r="682" spans="2:11" ht="14.25" customHeight="1" x14ac:dyDescent="0.55000000000000004">
      <c r="B682" s="1"/>
      <c r="I682" s="1"/>
      <c r="J682" s="1"/>
      <c r="K682" s="1"/>
    </row>
    <row r="683" spans="2:11" ht="14.25" customHeight="1" x14ac:dyDescent="0.55000000000000004">
      <c r="B683" s="1"/>
      <c r="I683" s="1"/>
      <c r="J683" s="1"/>
      <c r="K683" s="1"/>
    </row>
    <row r="684" spans="2:11" ht="14.25" customHeight="1" x14ac:dyDescent="0.55000000000000004">
      <c r="B684" s="1"/>
      <c r="I684" s="1"/>
      <c r="J684" s="1"/>
      <c r="K684" s="1"/>
    </row>
    <row r="685" spans="2:11" ht="14.25" customHeight="1" x14ac:dyDescent="0.55000000000000004">
      <c r="B685" s="1"/>
      <c r="I685" s="1"/>
      <c r="J685" s="1"/>
      <c r="K685" s="1"/>
    </row>
    <row r="686" spans="2:11" ht="14.25" customHeight="1" x14ac:dyDescent="0.55000000000000004">
      <c r="B686" s="1"/>
      <c r="I686" s="1"/>
      <c r="J686" s="1"/>
      <c r="K686" s="1"/>
    </row>
    <row r="687" spans="2:11" ht="14.25" customHeight="1" x14ac:dyDescent="0.55000000000000004">
      <c r="B687" s="1"/>
      <c r="I687" s="1"/>
      <c r="J687" s="1"/>
      <c r="K687" s="1"/>
    </row>
    <row r="688" spans="2:11" ht="14.25" customHeight="1" x14ac:dyDescent="0.55000000000000004">
      <c r="B688" s="1"/>
      <c r="I688" s="1"/>
      <c r="J688" s="1"/>
      <c r="K688" s="1"/>
    </row>
    <row r="689" spans="2:11" ht="14.25" customHeight="1" x14ac:dyDescent="0.55000000000000004">
      <c r="B689" s="1"/>
      <c r="I689" s="1"/>
      <c r="J689" s="1"/>
      <c r="K689" s="1"/>
    </row>
    <row r="690" spans="2:11" ht="14.25" customHeight="1" x14ac:dyDescent="0.55000000000000004">
      <c r="B690" s="1"/>
      <c r="I690" s="1"/>
      <c r="J690" s="1"/>
      <c r="K690" s="1"/>
    </row>
    <row r="691" spans="2:11" ht="14.25" customHeight="1" x14ac:dyDescent="0.55000000000000004">
      <c r="B691" s="1"/>
      <c r="I691" s="1"/>
      <c r="J691" s="1"/>
      <c r="K691" s="1"/>
    </row>
    <row r="692" spans="2:11" ht="14.25" customHeight="1" x14ac:dyDescent="0.55000000000000004">
      <c r="B692" s="1"/>
      <c r="I692" s="1"/>
      <c r="J692" s="1"/>
      <c r="K692" s="1"/>
    </row>
    <row r="693" spans="2:11" ht="14.25" customHeight="1" x14ac:dyDescent="0.55000000000000004">
      <c r="B693" s="1"/>
      <c r="I693" s="1"/>
      <c r="J693" s="1"/>
      <c r="K693" s="1"/>
    </row>
    <row r="694" spans="2:11" ht="14.25" customHeight="1" x14ac:dyDescent="0.55000000000000004">
      <c r="B694" s="1"/>
      <c r="I694" s="1"/>
      <c r="J694" s="1"/>
      <c r="K694" s="1"/>
    </row>
    <row r="695" spans="2:11" ht="14.25" customHeight="1" x14ac:dyDescent="0.55000000000000004">
      <c r="B695" s="1"/>
      <c r="I695" s="1"/>
      <c r="J695" s="1"/>
      <c r="K695" s="1"/>
    </row>
    <row r="696" spans="2:11" ht="14.25" customHeight="1" x14ac:dyDescent="0.55000000000000004">
      <c r="B696" s="1"/>
      <c r="I696" s="1"/>
      <c r="J696" s="1"/>
      <c r="K696" s="1"/>
    </row>
    <row r="697" spans="2:11" ht="14.25" customHeight="1" x14ac:dyDescent="0.55000000000000004">
      <c r="B697" s="1"/>
      <c r="I697" s="1"/>
      <c r="J697" s="1"/>
      <c r="K697" s="1"/>
    </row>
    <row r="698" spans="2:11" ht="14.25" customHeight="1" x14ac:dyDescent="0.55000000000000004">
      <c r="B698" s="1"/>
      <c r="I698" s="1"/>
      <c r="J698" s="1"/>
      <c r="K698" s="1"/>
    </row>
    <row r="699" spans="2:11" ht="14.25" customHeight="1" x14ac:dyDescent="0.55000000000000004">
      <c r="B699" s="1"/>
      <c r="I699" s="1"/>
      <c r="J699" s="1"/>
      <c r="K699" s="1"/>
    </row>
    <row r="700" spans="2:11" ht="14.25" customHeight="1" x14ac:dyDescent="0.55000000000000004">
      <c r="B700" s="1"/>
      <c r="I700" s="1"/>
      <c r="J700" s="1"/>
      <c r="K700" s="1"/>
    </row>
    <row r="701" spans="2:11" ht="14.25" customHeight="1" x14ac:dyDescent="0.55000000000000004">
      <c r="B701" s="1"/>
      <c r="I701" s="1"/>
      <c r="J701" s="1"/>
      <c r="K701" s="1"/>
    </row>
    <row r="702" spans="2:11" ht="14.25" customHeight="1" x14ac:dyDescent="0.55000000000000004">
      <c r="B702" s="1"/>
      <c r="I702" s="1"/>
      <c r="J702" s="1"/>
      <c r="K702" s="1"/>
    </row>
    <row r="703" spans="2:11" ht="14.25" customHeight="1" x14ac:dyDescent="0.55000000000000004">
      <c r="B703" s="1"/>
      <c r="I703" s="1"/>
      <c r="J703" s="1"/>
      <c r="K703" s="1"/>
    </row>
    <row r="704" spans="2:11" ht="14.25" customHeight="1" x14ac:dyDescent="0.55000000000000004">
      <c r="B704" s="1"/>
      <c r="I704" s="1"/>
      <c r="J704" s="1"/>
      <c r="K704" s="1"/>
    </row>
    <row r="705" spans="2:11" ht="14.25" customHeight="1" x14ac:dyDescent="0.55000000000000004">
      <c r="B705" s="1"/>
      <c r="I705" s="1"/>
      <c r="J705" s="1"/>
      <c r="K705" s="1"/>
    </row>
    <row r="706" spans="2:11" ht="14.25" customHeight="1" x14ac:dyDescent="0.55000000000000004">
      <c r="B706" s="1"/>
      <c r="I706" s="1"/>
      <c r="J706" s="1"/>
      <c r="K706" s="1"/>
    </row>
    <row r="707" spans="2:11" ht="14.25" customHeight="1" x14ac:dyDescent="0.55000000000000004">
      <c r="B707" s="1"/>
      <c r="I707" s="1"/>
      <c r="J707" s="1"/>
      <c r="K707" s="1"/>
    </row>
    <row r="708" spans="2:11" ht="14.25" customHeight="1" x14ac:dyDescent="0.55000000000000004">
      <c r="B708" s="1"/>
      <c r="I708" s="1"/>
      <c r="J708" s="1"/>
      <c r="K708" s="1"/>
    </row>
    <row r="709" spans="2:11" ht="14.25" customHeight="1" x14ac:dyDescent="0.55000000000000004">
      <c r="B709" s="1"/>
      <c r="I709" s="1"/>
      <c r="J709" s="1"/>
      <c r="K709" s="1"/>
    </row>
    <row r="710" spans="2:11" ht="14.25" customHeight="1" x14ac:dyDescent="0.55000000000000004">
      <c r="B710" s="1"/>
      <c r="I710" s="1"/>
      <c r="J710" s="1"/>
      <c r="K710" s="1"/>
    </row>
    <row r="711" spans="2:11" ht="14.25" customHeight="1" x14ac:dyDescent="0.55000000000000004">
      <c r="B711" s="1"/>
      <c r="I711" s="1"/>
      <c r="J711" s="1"/>
      <c r="K711" s="1"/>
    </row>
    <row r="712" spans="2:11" ht="14.25" customHeight="1" x14ac:dyDescent="0.55000000000000004">
      <c r="B712" s="1"/>
      <c r="I712" s="1"/>
      <c r="J712" s="1"/>
      <c r="K712" s="1"/>
    </row>
    <row r="713" spans="2:11" ht="14.25" customHeight="1" x14ac:dyDescent="0.55000000000000004">
      <c r="B713" s="1"/>
      <c r="I713" s="1"/>
      <c r="J713" s="1"/>
      <c r="K713" s="1"/>
    </row>
    <row r="714" spans="2:11" ht="14.25" customHeight="1" x14ac:dyDescent="0.55000000000000004">
      <c r="B714" s="1"/>
      <c r="I714" s="1"/>
      <c r="J714" s="1"/>
      <c r="K714" s="1"/>
    </row>
    <row r="715" spans="2:11" ht="14.25" customHeight="1" x14ac:dyDescent="0.55000000000000004">
      <c r="B715" s="1"/>
      <c r="I715" s="1"/>
      <c r="J715" s="1"/>
      <c r="K715" s="1"/>
    </row>
    <row r="716" spans="2:11" ht="14.25" customHeight="1" x14ac:dyDescent="0.55000000000000004">
      <c r="B716" s="1"/>
      <c r="I716" s="1"/>
      <c r="J716" s="1"/>
      <c r="K716" s="1"/>
    </row>
    <row r="717" spans="2:11" ht="14.25" customHeight="1" x14ac:dyDescent="0.55000000000000004">
      <c r="B717" s="1"/>
      <c r="I717" s="1"/>
      <c r="J717" s="1"/>
      <c r="K717" s="1"/>
    </row>
    <row r="718" spans="2:11" ht="14.25" customHeight="1" x14ac:dyDescent="0.55000000000000004">
      <c r="B718" s="1"/>
      <c r="I718" s="1"/>
      <c r="J718" s="1"/>
      <c r="K718" s="1"/>
    </row>
    <row r="719" spans="2:11" ht="14.25" customHeight="1" x14ac:dyDescent="0.55000000000000004">
      <c r="B719" s="1"/>
      <c r="I719" s="1"/>
      <c r="J719" s="1"/>
      <c r="K719" s="1"/>
    </row>
    <row r="720" spans="2:11" ht="14.25" customHeight="1" x14ac:dyDescent="0.55000000000000004">
      <c r="B720" s="1"/>
      <c r="I720" s="1"/>
      <c r="J720" s="1"/>
      <c r="K720" s="1"/>
    </row>
    <row r="721" spans="2:11" ht="14.25" customHeight="1" x14ac:dyDescent="0.55000000000000004">
      <c r="B721" s="1"/>
      <c r="I721" s="1"/>
      <c r="J721" s="1"/>
      <c r="K721" s="1"/>
    </row>
    <row r="722" spans="2:11" ht="14.25" customHeight="1" x14ac:dyDescent="0.55000000000000004">
      <c r="B722" s="1"/>
      <c r="I722" s="1"/>
      <c r="J722" s="1"/>
      <c r="K722" s="1"/>
    </row>
    <row r="723" spans="2:11" ht="14.25" customHeight="1" x14ac:dyDescent="0.55000000000000004">
      <c r="B723" s="1"/>
      <c r="I723" s="1"/>
      <c r="J723" s="1"/>
      <c r="K723" s="1"/>
    </row>
    <row r="724" spans="2:11" ht="14.25" customHeight="1" x14ac:dyDescent="0.55000000000000004">
      <c r="B724" s="1"/>
      <c r="I724" s="1"/>
      <c r="J724" s="1"/>
      <c r="K724" s="1"/>
    </row>
    <row r="725" spans="2:11" ht="14.25" customHeight="1" x14ac:dyDescent="0.55000000000000004">
      <c r="B725" s="1"/>
      <c r="I725" s="1"/>
      <c r="J725" s="1"/>
      <c r="K725" s="1"/>
    </row>
    <row r="726" spans="2:11" ht="14.25" customHeight="1" x14ac:dyDescent="0.55000000000000004">
      <c r="B726" s="1"/>
      <c r="I726" s="1"/>
      <c r="J726" s="1"/>
      <c r="K726" s="1"/>
    </row>
    <row r="727" spans="2:11" ht="14.25" customHeight="1" x14ac:dyDescent="0.55000000000000004">
      <c r="B727" s="1"/>
      <c r="I727" s="1"/>
      <c r="J727" s="1"/>
      <c r="K727" s="1"/>
    </row>
    <row r="728" spans="2:11" ht="14.25" customHeight="1" x14ac:dyDescent="0.55000000000000004">
      <c r="B728" s="1"/>
      <c r="I728" s="1"/>
      <c r="J728" s="1"/>
      <c r="K728" s="1"/>
    </row>
    <row r="729" spans="2:11" ht="14.25" customHeight="1" x14ac:dyDescent="0.55000000000000004">
      <c r="B729" s="1"/>
      <c r="I729" s="1"/>
      <c r="J729" s="1"/>
      <c r="K729" s="1"/>
    </row>
    <row r="730" spans="2:11" ht="14.25" customHeight="1" x14ac:dyDescent="0.55000000000000004">
      <c r="B730" s="1"/>
      <c r="I730" s="1"/>
      <c r="J730" s="1"/>
      <c r="K730" s="1"/>
    </row>
    <row r="731" spans="2:11" ht="14.25" customHeight="1" x14ac:dyDescent="0.55000000000000004">
      <c r="B731" s="1"/>
      <c r="I731" s="1"/>
      <c r="J731" s="1"/>
      <c r="K731" s="1"/>
    </row>
    <row r="732" spans="2:11" ht="14.25" customHeight="1" x14ac:dyDescent="0.55000000000000004">
      <c r="B732" s="1"/>
      <c r="I732" s="1"/>
      <c r="J732" s="1"/>
      <c r="K732" s="1"/>
    </row>
    <row r="733" spans="2:11" ht="14.25" customHeight="1" x14ac:dyDescent="0.55000000000000004">
      <c r="B733" s="1"/>
      <c r="I733" s="1"/>
      <c r="J733" s="1"/>
      <c r="K733" s="1"/>
    </row>
    <row r="734" spans="2:11" ht="14.25" customHeight="1" x14ac:dyDescent="0.55000000000000004">
      <c r="B734" s="1"/>
      <c r="I734" s="1"/>
      <c r="J734" s="1"/>
      <c r="K734" s="1"/>
    </row>
    <row r="735" spans="2:11" ht="14.25" customHeight="1" x14ac:dyDescent="0.55000000000000004">
      <c r="B735" s="1"/>
      <c r="I735" s="1"/>
      <c r="J735" s="1"/>
      <c r="K735" s="1"/>
    </row>
    <row r="736" spans="2:11" ht="14.25" customHeight="1" x14ac:dyDescent="0.55000000000000004">
      <c r="B736" s="1"/>
      <c r="I736" s="1"/>
      <c r="J736" s="1"/>
      <c r="K736" s="1"/>
    </row>
    <row r="737" spans="2:11" ht="14.25" customHeight="1" x14ac:dyDescent="0.55000000000000004">
      <c r="B737" s="1"/>
      <c r="I737" s="1"/>
      <c r="J737" s="1"/>
      <c r="K737" s="1"/>
    </row>
    <row r="738" spans="2:11" ht="14.25" customHeight="1" x14ac:dyDescent="0.55000000000000004">
      <c r="B738" s="1"/>
      <c r="I738" s="1"/>
      <c r="J738" s="1"/>
      <c r="K738" s="1"/>
    </row>
    <row r="739" spans="2:11" ht="14.25" customHeight="1" x14ac:dyDescent="0.55000000000000004">
      <c r="B739" s="1"/>
      <c r="I739" s="1"/>
      <c r="J739" s="1"/>
      <c r="K739" s="1"/>
    </row>
    <row r="740" spans="2:11" ht="14.25" customHeight="1" x14ac:dyDescent="0.55000000000000004">
      <c r="B740" s="1"/>
      <c r="I740" s="1"/>
      <c r="J740" s="1"/>
      <c r="K740" s="1"/>
    </row>
    <row r="741" spans="2:11" ht="14.25" customHeight="1" x14ac:dyDescent="0.55000000000000004">
      <c r="B741" s="1"/>
      <c r="I741" s="1"/>
      <c r="J741" s="1"/>
      <c r="K741" s="1"/>
    </row>
    <row r="742" spans="2:11" ht="14.25" customHeight="1" x14ac:dyDescent="0.55000000000000004">
      <c r="B742" s="1"/>
      <c r="I742" s="1"/>
      <c r="J742" s="1"/>
      <c r="K742" s="1"/>
    </row>
    <row r="743" spans="2:11" ht="14.25" customHeight="1" x14ac:dyDescent="0.55000000000000004">
      <c r="B743" s="1"/>
      <c r="I743" s="1"/>
      <c r="J743" s="1"/>
      <c r="K743" s="1"/>
    </row>
    <row r="744" spans="2:11" ht="14.25" customHeight="1" x14ac:dyDescent="0.55000000000000004">
      <c r="B744" s="1"/>
      <c r="I744" s="1"/>
      <c r="J744" s="1"/>
      <c r="K744" s="1"/>
    </row>
    <row r="745" spans="2:11" ht="14.25" customHeight="1" x14ac:dyDescent="0.55000000000000004">
      <c r="B745" s="1"/>
      <c r="I745" s="1"/>
      <c r="J745" s="1"/>
      <c r="K745" s="1"/>
    </row>
    <row r="746" spans="2:11" ht="14.25" customHeight="1" x14ac:dyDescent="0.55000000000000004">
      <c r="B746" s="1"/>
      <c r="I746" s="1"/>
      <c r="J746" s="1"/>
      <c r="K746" s="1"/>
    </row>
    <row r="747" spans="2:11" ht="14.25" customHeight="1" x14ac:dyDescent="0.55000000000000004">
      <c r="B747" s="1"/>
      <c r="I747" s="1"/>
      <c r="J747" s="1"/>
      <c r="K747" s="1"/>
    </row>
    <row r="748" spans="2:11" ht="14.25" customHeight="1" x14ac:dyDescent="0.55000000000000004">
      <c r="B748" s="1"/>
      <c r="I748" s="1"/>
      <c r="J748" s="1"/>
      <c r="K748" s="1"/>
    </row>
    <row r="749" spans="2:11" ht="14.25" customHeight="1" x14ac:dyDescent="0.55000000000000004">
      <c r="B749" s="1"/>
      <c r="I749" s="1"/>
      <c r="J749" s="1"/>
      <c r="K749" s="1"/>
    </row>
    <row r="750" spans="2:11" ht="14.25" customHeight="1" x14ac:dyDescent="0.55000000000000004">
      <c r="B750" s="1"/>
      <c r="I750" s="1"/>
      <c r="J750" s="1"/>
      <c r="K750" s="1"/>
    </row>
    <row r="751" spans="2:11" ht="14.25" customHeight="1" x14ac:dyDescent="0.55000000000000004">
      <c r="B751" s="1"/>
      <c r="I751" s="1"/>
      <c r="J751" s="1"/>
      <c r="K751" s="1"/>
    </row>
    <row r="752" spans="2:11" ht="14.25" customHeight="1" x14ac:dyDescent="0.55000000000000004">
      <c r="B752" s="1"/>
      <c r="I752" s="1"/>
      <c r="J752" s="1"/>
      <c r="K752" s="1"/>
    </row>
    <row r="753" spans="2:11" ht="14.25" customHeight="1" x14ac:dyDescent="0.55000000000000004">
      <c r="B753" s="1"/>
      <c r="I753" s="1"/>
      <c r="J753" s="1"/>
      <c r="K753" s="1"/>
    </row>
    <row r="754" spans="2:11" ht="14.25" customHeight="1" x14ac:dyDescent="0.55000000000000004">
      <c r="B754" s="1"/>
      <c r="I754" s="1"/>
      <c r="J754" s="1"/>
      <c r="K754" s="1"/>
    </row>
    <row r="755" spans="2:11" ht="14.25" customHeight="1" x14ac:dyDescent="0.55000000000000004">
      <c r="B755" s="1"/>
      <c r="I755" s="1"/>
      <c r="J755" s="1"/>
      <c r="K755" s="1"/>
    </row>
    <row r="756" spans="2:11" ht="14.25" customHeight="1" x14ac:dyDescent="0.55000000000000004">
      <c r="B756" s="1"/>
      <c r="I756" s="1"/>
      <c r="J756" s="1"/>
      <c r="K756" s="1"/>
    </row>
    <row r="757" spans="2:11" ht="14.25" customHeight="1" x14ac:dyDescent="0.55000000000000004">
      <c r="B757" s="1"/>
      <c r="I757" s="1"/>
      <c r="J757" s="1"/>
      <c r="K757" s="1"/>
    </row>
    <row r="758" spans="2:11" ht="14.25" customHeight="1" x14ac:dyDescent="0.55000000000000004">
      <c r="B758" s="1"/>
      <c r="I758" s="1"/>
      <c r="J758" s="1"/>
      <c r="K758" s="1"/>
    </row>
    <row r="759" spans="2:11" ht="14.25" customHeight="1" x14ac:dyDescent="0.55000000000000004">
      <c r="B759" s="1"/>
      <c r="I759" s="1"/>
      <c r="J759" s="1"/>
      <c r="K759" s="1"/>
    </row>
    <row r="760" spans="2:11" ht="14.25" customHeight="1" x14ac:dyDescent="0.55000000000000004">
      <c r="B760" s="1"/>
      <c r="I760" s="1"/>
      <c r="J760" s="1"/>
      <c r="K760" s="1"/>
    </row>
    <row r="761" spans="2:11" ht="14.25" customHeight="1" x14ac:dyDescent="0.55000000000000004">
      <c r="B761" s="1"/>
      <c r="I761" s="1"/>
      <c r="J761" s="1"/>
      <c r="K761" s="1"/>
    </row>
    <row r="762" spans="2:11" ht="14.25" customHeight="1" x14ac:dyDescent="0.55000000000000004">
      <c r="B762" s="1"/>
      <c r="I762" s="1"/>
      <c r="J762" s="1"/>
      <c r="K762" s="1"/>
    </row>
    <row r="763" spans="2:11" ht="14.25" customHeight="1" x14ac:dyDescent="0.55000000000000004">
      <c r="B763" s="1"/>
      <c r="I763" s="1"/>
      <c r="J763" s="1"/>
      <c r="K763" s="1"/>
    </row>
    <row r="764" spans="2:11" ht="14.25" customHeight="1" x14ac:dyDescent="0.55000000000000004">
      <c r="B764" s="1"/>
      <c r="I764" s="1"/>
      <c r="J764" s="1"/>
      <c r="K764" s="1"/>
    </row>
    <row r="765" spans="2:11" ht="14.25" customHeight="1" x14ac:dyDescent="0.55000000000000004">
      <c r="B765" s="1"/>
      <c r="I765" s="1"/>
      <c r="J765" s="1"/>
      <c r="K765" s="1"/>
    </row>
    <row r="766" spans="2:11" ht="14.25" customHeight="1" x14ac:dyDescent="0.55000000000000004">
      <c r="B766" s="1"/>
      <c r="I766" s="1"/>
      <c r="J766" s="1"/>
      <c r="K766" s="1"/>
    </row>
    <row r="767" spans="2:11" ht="14.25" customHeight="1" x14ac:dyDescent="0.55000000000000004">
      <c r="B767" s="1"/>
      <c r="I767" s="1"/>
      <c r="J767" s="1"/>
      <c r="K767" s="1"/>
    </row>
    <row r="768" spans="2:11" ht="14.25" customHeight="1" x14ac:dyDescent="0.55000000000000004">
      <c r="B768" s="1"/>
      <c r="I768" s="1"/>
      <c r="J768" s="1"/>
      <c r="K768" s="1"/>
    </row>
    <row r="769" spans="2:11" ht="14.25" customHeight="1" x14ac:dyDescent="0.55000000000000004">
      <c r="B769" s="1"/>
      <c r="I769" s="1"/>
      <c r="J769" s="1"/>
      <c r="K769" s="1"/>
    </row>
    <row r="770" spans="2:11" ht="14.25" customHeight="1" x14ac:dyDescent="0.55000000000000004">
      <c r="B770" s="1"/>
      <c r="I770" s="1"/>
      <c r="J770" s="1"/>
      <c r="K770" s="1"/>
    </row>
    <row r="771" spans="2:11" ht="14.25" customHeight="1" x14ac:dyDescent="0.55000000000000004">
      <c r="B771" s="1"/>
      <c r="I771" s="1"/>
      <c r="J771" s="1"/>
      <c r="K771" s="1"/>
    </row>
    <row r="772" spans="2:11" ht="14.25" customHeight="1" x14ac:dyDescent="0.55000000000000004">
      <c r="B772" s="1"/>
      <c r="I772" s="1"/>
      <c r="J772" s="1"/>
      <c r="K772" s="1"/>
    </row>
    <row r="773" spans="2:11" ht="14.25" customHeight="1" x14ac:dyDescent="0.55000000000000004">
      <c r="B773" s="1"/>
      <c r="I773" s="1"/>
      <c r="J773" s="1"/>
      <c r="K773" s="1"/>
    </row>
    <row r="774" spans="2:11" ht="14.25" customHeight="1" x14ac:dyDescent="0.55000000000000004">
      <c r="B774" s="1"/>
      <c r="I774" s="1"/>
      <c r="J774" s="1"/>
      <c r="K774" s="1"/>
    </row>
    <row r="775" spans="2:11" ht="14.25" customHeight="1" x14ac:dyDescent="0.55000000000000004">
      <c r="B775" s="1"/>
      <c r="I775" s="1"/>
      <c r="J775" s="1"/>
      <c r="K775" s="1"/>
    </row>
    <row r="776" spans="2:11" ht="14.25" customHeight="1" x14ac:dyDescent="0.55000000000000004">
      <c r="B776" s="1"/>
      <c r="I776" s="1"/>
      <c r="J776" s="1"/>
      <c r="K776" s="1"/>
    </row>
    <row r="777" spans="2:11" ht="14.25" customHeight="1" x14ac:dyDescent="0.55000000000000004">
      <c r="B777" s="1"/>
      <c r="I777" s="1"/>
      <c r="J777" s="1"/>
      <c r="K777" s="1"/>
    </row>
    <row r="778" spans="2:11" ht="14.25" customHeight="1" x14ac:dyDescent="0.55000000000000004">
      <c r="B778" s="1"/>
      <c r="I778" s="1"/>
      <c r="J778" s="1"/>
      <c r="K778" s="1"/>
    </row>
    <row r="779" spans="2:11" ht="14.25" customHeight="1" x14ac:dyDescent="0.55000000000000004">
      <c r="B779" s="1"/>
      <c r="I779" s="1"/>
      <c r="J779" s="1"/>
      <c r="K779" s="1"/>
    </row>
    <row r="780" spans="2:11" ht="14.25" customHeight="1" x14ac:dyDescent="0.55000000000000004">
      <c r="B780" s="1"/>
      <c r="I780" s="1"/>
      <c r="J780" s="1"/>
      <c r="K780" s="1"/>
    </row>
    <row r="781" spans="2:11" ht="14.25" customHeight="1" x14ac:dyDescent="0.55000000000000004">
      <c r="B781" s="1"/>
      <c r="I781" s="1"/>
      <c r="J781" s="1"/>
      <c r="K781" s="1"/>
    </row>
    <row r="782" spans="2:11" ht="14.25" customHeight="1" x14ac:dyDescent="0.55000000000000004">
      <c r="B782" s="1"/>
      <c r="I782" s="1"/>
      <c r="J782" s="1"/>
      <c r="K782" s="1"/>
    </row>
    <row r="783" spans="2:11" ht="14.25" customHeight="1" x14ac:dyDescent="0.55000000000000004">
      <c r="B783" s="1"/>
      <c r="I783" s="1"/>
      <c r="J783" s="1"/>
      <c r="K783" s="1"/>
    </row>
    <row r="784" spans="2:11" ht="14.25" customHeight="1" x14ac:dyDescent="0.55000000000000004">
      <c r="B784" s="1"/>
      <c r="I784" s="1"/>
      <c r="J784" s="1"/>
      <c r="K784" s="1"/>
    </row>
    <row r="785" spans="2:11" ht="14.25" customHeight="1" x14ac:dyDescent="0.55000000000000004">
      <c r="B785" s="1"/>
      <c r="I785" s="1"/>
      <c r="J785" s="1"/>
      <c r="K785" s="1"/>
    </row>
    <row r="786" spans="2:11" ht="14.25" customHeight="1" x14ac:dyDescent="0.55000000000000004">
      <c r="B786" s="1"/>
      <c r="I786" s="1"/>
      <c r="J786" s="1"/>
      <c r="K786" s="1"/>
    </row>
    <row r="787" spans="2:11" ht="14.25" customHeight="1" x14ac:dyDescent="0.55000000000000004">
      <c r="B787" s="1"/>
      <c r="I787" s="1"/>
      <c r="J787" s="1"/>
      <c r="K787" s="1"/>
    </row>
    <row r="788" spans="2:11" ht="14.25" customHeight="1" x14ac:dyDescent="0.55000000000000004">
      <c r="B788" s="1"/>
      <c r="I788" s="1"/>
      <c r="J788" s="1"/>
      <c r="K788" s="1"/>
    </row>
    <row r="789" spans="2:11" ht="14.25" customHeight="1" x14ac:dyDescent="0.55000000000000004">
      <c r="B789" s="1"/>
      <c r="I789" s="1"/>
      <c r="J789" s="1"/>
      <c r="K789" s="1"/>
    </row>
    <row r="790" spans="2:11" ht="14.25" customHeight="1" x14ac:dyDescent="0.55000000000000004">
      <c r="B790" s="1"/>
      <c r="I790" s="1"/>
      <c r="J790" s="1"/>
      <c r="K790" s="1"/>
    </row>
    <row r="791" spans="2:11" ht="14.25" customHeight="1" x14ac:dyDescent="0.55000000000000004">
      <c r="B791" s="1"/>
      <c r="I791" s="1"/>
      <c r="J791" s="1"/>
      <c r="K791" s="1"/>
    </row>
    <row r="792" spans="2:11" ht="14.25" customHeight="1" x14ac:dyDescent="0.55000000000000004">
      <c r="B792" s="1"/>
      <c r="I792" s="1"/>
      <c r="J792" s="1"/>
      <c r="K792" s="1"/>
    </row>
    <row r="793" spans="2:11" ht="14.25" customHeight="1" x14ac:dyDescent="0.55000000000000004">
      <c r="B793" s="1"/>
      <c r="I793" s="1"/>
      <c r="J793" s="1"/>
      <c r="K793" s="1"/>
    </row>
    <row r="794" spans="2:11" ht="14.25" customHeight="1" x14ac:dyDescent="0.55000000000000004">
      <c r="B794" s="1"/>
      <c r="I794" s="1"/>
      <c r="J794" s="1"/>
      <c r="K794" s="1"/>
    </row>
    <row r="795" spans="2:11" ht="14.25" customHeight="1" x14ac:dyDescent="0.55000000000000004">
      <c r="B795" s="1"/>
      <c r="I795" s="1"/>
      <c r="J795" s="1"/>
      <c r="K795" s="1"/>
    </row>
    <row r="796" spans="2:11" ht="14.25" customHeight="1" x14ac:dyDescent="0.55000000000000004">
      <c r="B796" s="1"/>
      <c r="I796" s="1"/>
      <c r="J796" s="1"/>
      <c r="K796" s="1"/>
    </row>
    <row r="797" spans="2:11" ht="14.25" customHeight="1" x14ac:dyDescent="0.55000000000000004">
      <c r="B797" s="1"/>
      <c r="I797" s="1"/>
      <c r="J797" s="1"/>
      <c r="K797" s="1"/>
    </row>
    <row r="798" spans="2:11" ht="14.25" customHeight="1" x14ac:dyDescent="0.55000000000000004">
      <c r="B798" s="1"/>
      <c r="I798" s="1"/>
      <c r="J798" s="1"/>
      <c r="K798" s="1"/>
    </row>
    <row r="799" spans="2:11" ht="14.25" customHeight="1" x14ac:dyDescent="0.55000000000000004">
      <c r="B799" s="1"/>
      <c r="I799" s="1"/>
      <c r="J799" s="1"/>
      <c r="K799" s="1"/>
    </row>
    <row r="800" spans="2:11" ht="14.25" customHeight="1" x14ac:dyDescent="0.55000000000000004">
      <c r="B800" s="1"/>
      <c r="I800" s="1"/>
      <c r="J800" s="1"/>
      <c r="K800" s="1"/>
    </row>
    <row r="801" spans="2:11" ht="14.25" customHeight="1" x14ac:dyDescent="0.55000000000000004">
      <c r="B801" s="1"/>
      <c r="I801" s="1"/>
      <c r="J801" s="1"/>
      <c r="K801" s="1"/>
    </row>
    <row r="802" spans="2:11" ht="14.25" customHeight="1" x14ac:dyDescent="0.55000000000000004">
      <c r="B802" s="1"/>
      <c r="I802" s="1"/>
      <c r="J802" s="1"/>
      <c r="K802" s="1"/>
    </row>
    <row r="803" spans="2:11" ht="14.25" customHeight="1" x14ac:dyDescent="0.55000000000000004">
      <c r="B803" s="1"/>
      <c r="I803" s="1"/>
      <c r="J803" s="1"/>
      <c r="K803" s="1"/>
    </row>
    <row r="804" spans="2:11" ht="14.25" customHeight="1" x14ac:dyDescent="0.55000000000000004">
      <c r="B804" s="1"/>
      <c r="I804" s="1"/>
      <c r="J804" s="1"/>
      <c r="K804" s="1"/>
    </row>
    <row r="805" spans="2:11" ht="14.25" customHeight="1" x14ac:dyDescent="0.55000000000000004">
      <c r="B805" s="1"/>
      <c r="I805" s="1"/>
      <c r="J805" s="1"/>
      <c r="K805" s="1"/>
    </row>
    <row r="806" spans="2:11" ht="14.25" customHeight="1" x14ac:dyDescent="0.55000000000000004">
      <c r="B806" s="1"/>
      <c r="I806" s="1"/>
      <c r="J806" s="1"/>
      <c r="K806" s="1"/>
    </row>
    <row r="807" spans="2:11" ht="14.25" customHeight="1" x14ac:dyDescent="0.55000000000000004">
      <c r="B807" s="1"/>
      <c r="I807" s="1"/>
      <c r="J807" s="1"/>
      <c r="K807" s="1"/>
    </row>
    <row r="808" spans="2:11" ht="14.25" customHeight="1" x14ac:dyDescent="0.55000000000000004">
      <c r="B808" s="1"/>
      <c r="I808" s="1"/>
      <c r="J808" s="1"/>
      <c r="K808" s="1"/>
    </row>
    <row r="809" spans="2:11" ht="14.25" customHeight="1" x14ac:dyDescent="0.55000000000000004">
      <c r="B809" s="1"/>
      <c r="I809" s="1"/>
      <c r="J809" s="1"/>
      <c r="K809" s="1"/>
    </row>
    <row r="810" spans="2:11" ht="14.25" customHeight="1" x14ac:dyDescent="0.55000000000000004">
      <c r="B810" s="1"/>
      <c r="I810" s="1"/>
      <c r="J810" s="1"/>
      <c r="K810" s="1"/>
    </row>
    <row r="811" spans="2:11" ht="14.25" customHeight="1" x14ac:dyDescent="0.55000000000000004">
      <c r="B811" s="1"/>
      <c r="I811" s="1"/>
      <c r="J811" s="1"/>
      <c r="K811" s="1"/>
    </row>
    <row r="812" spans="2:11" ht="14.25" customHeight="1" x14ac:dyDescent="0.55000000000000004">
      <c r="B812" s="1"/>
      <c r="I812" s="1"/>
      <c r="J812" s="1"/>
      <c r="K812" s="1"/>
    </row>
    <row r="813" spans="2:11" ht="14.25" customHeight="1" x14ac:dyDescent="0.55000000000000004">
      <c r="B813" s="1"/>
      <c r="I813" s="1"/>
      <c r="J813" s="1"/>
      <c r="K813" s="1"/>
    </row>
    <row r="814" spans="2:11" ht="14.25" customHeight="1" x14ac:dyDescent="0.55000000000000004">
      <c r="B814" s="1"/>
      <c r="I814" s="1"/>
      <c r="J814" s="1"/>
      <c r="K814" s="1"/>
    </row>
    <row r="815" spans="2:11" ht="14.25" customHeight="1" x14ac:dyDescent="0.55000000000000004">
      <c r="B815" s="1"/>
      <c r="I815" s="1"/>
      <c r="J815" s="1"/>
      <c r="K815" s="1"/>
    </row>
    <row r="816" spans="2:11" ht="14.25" customHeight="1" x14ac:dyDescent="0.55000000000000004">
      <c r="B816" s="1"/>
      <c r="I816" s="1"/>
      <c r="J816" s="1"/>
      <c r="K816" s="1"/>
    </row>
    <row r="817" spans="2:11" ht="14.25" customHeight="1" x14ac:dyDescent="0.55000000000000004">
      <c r="B817" s="1"/>
      <c r="I817" s="1"/>
      <c r="J817" s="1"/>
      <c r="K817" s="1"/>
    </row>
    <row r="818" spans="2:11" ht="14.25" customHeight="1" x14ac:dyDescent="0.55000000000000004">
      <c r="B818" s="1"/>
      <c r="I818" s="1"/>
      <c r="J818" s="1"/>
      <c r="K818" s="1"/>
    </row>
    <row r="819" spans="2:11" ht="14.25" customHeight="1" x14ac:dyDescent="0.55000000000000004">
      <c r="B819" s="1"/>
      <c r="I819" s="1"/>
      <c r="J819" s="1"/>
      <c r="K819" s="1"/>
    </row>
    <row r="820" spans="2:11" ht="14.25" customHeight="1" x14ac:dyDescent="0.55000000000000004">
      <c r="B820" s="1"/>
      <c r="I820" s="1"/>
      <c r="J820" s="1"/>
      <c r="K820" s="1"/>
    </row>
    <row r="821" spans="2:11" ht="14.25" customHeight="1" x14ac:dyDescent="0.55000000000000004">
      <c r="B821" s="1"/>
      <c r="I821" s="1"/>
      <c r="J821" s="1"/>
      <c r="K821" s="1"/>
    </row>
    <row r="822" spans="2:11" ht="14.25" customHeight="1" x14ac:dyDescent="0.55000000000000004">
      <c r="B822" s="1"/>
      <c r="I822" s="1"/>
      <c r="J822" s="1"/>
      <c r="K822" s="1"/>
    </row>
    <row r="823" spans="2:11" ht="14.25" customHeight="1" x14ac:dyDescent="0.55000000000000004">
      <c r="B823" s="1"/>
      <c r="I823" s="1"/>
      <c r="J823" s="1"/>
      <c r="K823" s="1"/>
    </row>
    <row r="824" spans="2:11" ht="14.25" customHeight="1" x14ac:dyDescent="0.55000000000000004">
      <c r="B824" s="1"/>
      <c r="I824" s="1"/>
      <c r="J824" s="1"/>
      <c r="K824" s="1"/>
    </row>
    <row r="825" spans="2:11" ht="14.25" customHeight="1" x14ac:dyDescent="0.55000000000000004">
      <c r="B825" s="1"/>
      <c r="I825" s="1"/>
      <c r="J825" s="1"/>
      <c r="K825" s="1"/>
    </row>
    <row r="826" spans="2:11" ht="14.25" customHeight="1" x14ac:dyDescent="0.55000000000000004">
      <c r="B826" s="1"/>
      <c r="I826" s="1"/>
      <c r="J826" s="1"/>
      <c r="K826" s="1"/>
    </row>
    <row r="827" spans="2:11" ht="14.25" customHeight="1" x14ac:dyDescent="0.55000000000000004">
      <c r="B827" s="1"/>
      <c r="I827" s="1"/>
      <c r="J827" s="1"/>
      <c r="K827" s="1"/>
    </row>
    <row r="828" spans="2:11" ht="14.25" customHeight="1" x14ac:dyDescent="0.55000000000000004">
      <c r="B828" s="1"/>
      <c r="I828" s="1"/>
      <c r="J828" s="1"/>
      <c r="K828" s="1"/>
    </row>
    <row r="829" spans="2:11" ht="14.25" customHeight="1" x14ac:dyDescent="0.55000000000000004">
      <c r="B829" s="1"/>
      <c r="I829" s="1"/>
      <c r="J829" s="1"/>
      <c r="K829" s="1"/>
    </row>
    <row r="830" spans="2:11" ht="14.25" customHeight="1" x14ac:dyDescent="0.55000000000000004">
      <c r="B830" s="1"/>
      <c r="I830" s="1"/>
      <c r="J830" s="1"/>
      <c r="K830" s="1"/>
    </row>
    <row r="831" spans="2:11" ht="14.25" customHeight="1" x14ac:dyDescent="0.55000000000000004">
      <c r="B831" s="1"/>
      <c r="I831" s="1"/>
      <c r="J831" s="1"/>
      <c r="K831" s="1"/>
    </row>
    <row r="832" spans="2:11" ht="14.25" customHeight="1" x14ac:dyDescent="0.55000000000000004">
      <c r="B832" s="1"/>
      <c r="I832" s="1"/>
      <c r="J832" s="1"/>
      <c r="K832" s="1"/>
    </row>
    <row r="833" spans="2:11" ht="14.25" customHeight="1" x14ac:dyDescent="0.55000000000000004">
      <c r="B833" s="1"/>
      <c r="I833" s="1"/>
      <c r="J833" s="1"/>
      <c r="K833" s="1"/>
    </row>
    <row r="834" spans="2:11" ht="14.25" customHeight="1" x14ac:dyDescent="0.55000000000000004">
      <c r="B834" s="1"/>
      <c r="I834" s="1"/>
      <c r="J834" s="1"/>
      <c r="K834" s="1"/>
    </row>
    <row r="835" spans="2:11" ht="14.25" customHeight="1" x14ac:dyDescent="0.55000000000000004">
      <c r="B835" s="1"/>
      <c r="I835" s="1"/>
      <c r="J835" s="1"/>
      <c r="K835" s="1"/>
    </row>
    <row r="836" spans="2:11" ht="14.25" customHeight="1" x14ac:dyDescent="0.55000000000000004">
      <c r="B836" s="1"/>
      <c r="I836" s="1"/>
      <c r="J836" s="1"/>
      <c r="K836" s="1"/>
    </row>
    <row r="837" spans="2:11" ht="14.25" customHeight="1" x14ac:dyDescent="0.55000000000000004">
      <c r="B837" s="1"/>
      <c r="I837" s="1"/>
      <c r="J837" s="1"/>
      <c r="K837" s="1"/>
    </row>
    <row r="838" spans="2:11" ht="14.25" customHeight="1" x14ac:dyDescent="0.55000000000000004">
      <c r="B838" s="1"/>
      <c r="I838" s="1"/>
      <c r="J838" s="1"/>
      <c r="K838" s="1"/>
    </row>
    <row r="839" spans="2:11" ht="14.25" customHeight="1" x14ac:dyDescent="0.55000000000000004">
      <c r="B839" s="1"/>
      <c r="I839" s="1"/>
      <c r="J839" s="1"/>
      <c r="K839" s="1"/>
    </row>
    <row r="840" spans="2:11" ht="14.25" customHeight="1" x14ac:dyDescent="0.55000000000000004">
      <c r="B840" s="1"/>
      <c r="I840" s="1"/>
      <c r="J840" s="1"/>
      <c r="K840" s="1"/>
    </row>
    <row r="841" spans="2:11" ht="14.25" customHeight="1" x14ac:dyDescent="0.55000000000000004">
      <c r="B841" s="1"/>
      <c r="I841" s="1"/>
      <c r="J841" s="1"/>
      <c r="K841" s="1"/>
    </row>
    <row r="842" spans="2:11" ht="14.25" customHeight="1" x14ac:dyDescent="0.55000000000000004">
      <c r="B842" s="1"/>
      <c r="I842" s="1"/>
      <c r="J842" s="1"/>
      <c r="K842" s="1"/>
    </row>
    <row r="843" spans="2:11" ht="14.25" customHeight="1" x14ac:dyDescent="0.55000000000000004">
      <c r="B843" s="1"/>
      <c r="I843" s="1"/>
      <c r="J843" s="1"/>
      <c r="K843" s="1"/>
    </row>
    <row r="844" spans="2:11" ht="14.25" customHeight="1" x14ac:dyDescent="0.55000000000000004">
      <c r="B844" s="1"/>
      <c r="I844" s="1"/>
      <c r="J844" s="1"/>
      <c r="K844" s="1"/>
    </row>
    <row r="845" spans="2:11" ht="14.25" customHeight="1" x14ac:dyDescent="0.55000000000000004">
      <c r="B845" s="1"/>
      <c r="I845" s="1"/>
      <c r="J845" s="1"/>
      <c r="K845" s="1"/>
    </row>
    <row r="846" spans="2:11" ht="14.25" customHeight="1" x14ac:dyDescent="0.55000000000000004">
      <c r="B846" s="1"/>
      <c r="I846" s="1"/>
      <c r="J846" s="1"/>
      <c r="K846" s="1"/>
    </row>
    <row r="847" spans="2:11" ht="14.25" customHeight="1" x14ac:dyDescent="0.55000000000000004">
      <c r="B847" s="1"/>
      <c r="I847" s="1"/>
      <c r="J847" s="1"/>
      <c r="K847" s="1"/>
    </row>
    <row r="848" spans="2:11" ht="14.25" customHeight="1" x14ac:dyDescent="0.55000000000000004">
      <c r="B848" s="1"/>
      <c r="I848" s="1"/>
      <c r="J848" s="1"/>
      <c r="K848" s="1"/>
    </row>
    <row r="849" spans="2:11" ht="14.25" customHeight="1" x14ac:dyDescent="0.55000000000000004">
      <c r="B849" s="1"/>
      <c r="I849" s="1"/>
      <c r="J849" s="1"/>
      <c r="K849" s="1"/>
    </row>
    <row r="850" spans="2:11" ht="14.25" customHeight="1" x14ac:dyDescent="0.55000000000000004">
      <c r="B850" s="1"/>
      <c r="I850" s="1"/>
      <c r="J850" s="1"/>
      <c r="K850" s="1"/>
    </row>
    <row r="851" spans="2:11" ht="14.25" customHeight="1" x14ac:dyDescent="0.55000000000000004">
      <c r="B851" s="1"/>
      <c r="I851" s="1"/>
      <c r="J851" s="1"/>
      <c r="K851" s="1"/>
    </row>
    <row r="852" spans="2:11" ht="14.25" customHeight="1" x14ac:dyDescent="0.55000000000000004">
      <c r="B852" s="1"/>
      <c r="I852" s="1"/>
      <c r="J852" s="1"/>
      <c r="K852" s="1"/>
    </row>
    <row r="853" spans="2:11" ht="14.25" customHeight="1" x14ac:dyDescent="0.55000000000000004">
      <c r="B853" s="1"/>
      <c r="I853" s="1"/>
      <c r="J853" s="1"/>
      <c r="K853" s="1"/>
    </row>
    <row r="854" spans="2:11" ht="14.25" customHeight="1" x14ac:dyDescent="0.55000000000000004">
      <c r="B854" s="1"/>
      <c r="I854" s="1"/>
      <c r="J854" s="1"/>
      <c r="K854" s="1"/>
    </row>
    <row r="855" spans="2:11" ht="14.25" customHeight="1" x14ac:dyDescent="0.55000000000000004">
      <c r="B855" s="1"/>
      <c r="I855" s="1"/>
      <c r="J855" s="1"/>
      <c r="K855" s="1"/>
    </row>
    <row r="856" spans="2:11" ht="14.25" customHeight="1" x14ac:dyDescent="0.55000000000000004">
      <c r="B856" s="1"/>
      <c r="I856" s="1"/>
      <c r="J856" s="1"/>
      <c r="K856" s="1"/>
    </row>
    <row r="857" spans="2:11" ht="14.25" customHeight="1" x14ac:dyDescent="0.55000000000000004">
      <c r="B857" s="1"/>
      <c r="I857" s="1"/>
      <c r="J857" s="1"/>
      <c r="K857" s="1"/>
    </row>
    <row r="858" spans="2:11" ht="14.25" customHeight="1" x14ac:dyDescent="0.55000000000000004">
      <c r="B858" s="1"/>
      <c r="I858" s="1"/>
      <c r="J858" s="1"/>
      <c r="K858" s="1"/>
    </row>
    <row r="859" spans="2:11" ht="14.25" customHeight="1" x14ac:dyDescent="0.55000000000000004">
      <c r="B859" s="1"/>
      <c r="I859" s="1"/>
      <c r="J859" s="1"/>
      <c r="K859" s="1"/>
    </row>
    <row r="860" spans="2:11" ht="14.25" customHeight="1" x14ac:dyDescent="0.55000000000000004">
      <c r="B860" s="1"/>
      <c r="I860" s="1"/>
      <c r="J860" s="1"/>
      <c r="K860" s="1"/>
    </row>
    <row r="861" spans="2:11" ht="14.25" customHeight="1" x14ac:dyDescent="0.55000000000000004">
      <c r="B861" s="1"/>
      <c r="I861" s="1"/>
      <c r="J861" s="1"/>
      <c r="K861" s="1"/>
    </row>
    <row r="862" spans="2:11" ht="14.25" customHeight="1" x14ac:dyDescent="0.55000000000000004">
      <c r="B862" s="1"/>
      <c r="I862" s="1"/>
      <c r="J862" s="1"/>
      <c r="K862" s="1"/>
    </row>
    <row r="863" spans="2:11" ht="14.25" customHeight="1" x14ac:dyDescent="0.55000000000000004">
      <c r="B863" s="1"/>
      <c r="I863" s="1"/>
      <c r="J863" s="1"/>
      <c r="K863" s="1"/>
    </row>
    <row r="864" spans="2:11" ht="14.25" customHeight="1" x14ac:dyDescent="0.55000000000000004">
      <c r="B864" s="1"/>
      <c r="I864" s="1"/>
      <c r="J864" s="1"/>
      <c r="K864" s="1"/>
    </row>
    <row r="865" spans="2:11" ht="14.25" customHeight="1" x14ac:dyDescent="0.55000000000000004">
      <c r="B865" s="1"/>
      <c r="I865" s="1"/>
      <c r="J865" s="1"/>
      <c r="K865" s="1"/>
    </row>
    <row r="866" spans="2:11" ht="14.25" customHeight="1" x14ac:dyDescent="0.55000000000000004">
      <c r="B866" s="1"/>
      <c r="I866" s="1"/>
      <c r="J866" s="1"/>
      <c r="K866" s="1"/>
    </row>
    <row r="867" spans="2:11" ht="14.25" customHeight="1" x14ac:dyDescent="0.55000000000000004">
      <c r="B867" s="1"/>
      <c r="I867" s="1"/>
      <c r="J867" s="1"/>
      <c r="K867" s="1"/>
    </row>
    <row r="868" spans="2:11" ht="14.25" customHeight="1" x14ac:dyDescent="0.55000000000000004">
      <c r="B868" s="1"/>
      <c r="I868" s="1"/>
      <c r="J868" s="1"/>
      <c r="K868" s="1"/>
    </row>
    <row r="869" spans="2:11" ht="14.25" customHeight="1" x14ac:dyDescent="0.55000000000000004">
      <c r="B869" s="1"/>
      <c r="I869" s="1"/>
      <c r="J869" s="1"/>
      <c r="K869" s="1"/>
    </row>
    <row r="870" spans="2:11" ht="14.25" customHeight="1" x14ac:dyDescent="0.55000000000000004">
      <c r="B870" s="1"/>
      <c r="I870" s="1"/>
      <c r="J870" s="1"/>
      <c r="K870" s="1"/>
    </row>
    <row r="871" spans="2:11" ht="14.25" customHeight="1" x14ac:dyDescent="0.55000000000000004">
      <c r="B871" s="1"/>
      <c r="I871" s="1"/>
      <c r="J871" s="1"/>
      <c r="K871" s="1"/>
    </row>
    <row r="872" spans="2:11" ht="14.25" customHeight="1" x14ac:dyDescent="0.55000000000000004">
      <c r="B872" s="1"/>
      <c r="I872" s="1"/>
      <c r="J872" s="1"/>
      <c r="K872" s="1"/>
    </row>
    <row r="873" spans="2:11" ht="14.25" customHeight="1" x14ac:dyDescent="0.55000000000000004">
      <c r="B873" s="1"/>
      <c r="I873" s="1"/>
      <c r="J873" s="1"/>
      <c r="K873" s="1"/>
    </row>
    <row r="874" spans="2:11" ht="14.25" customHeight="1" x14ac:dyDescent="0.55000000000000004">
      <c r="B874" s="1"/>
      <c r="I874" s="1"/>
      <c r="J874" s="1"/>
      <c r="K874" s="1"/>
    </row>
    <row r="875" spans="2:11" ht="14.25" customHeight="1" x14ac:dyDescent="0.55000000000000004">
      <c r="B875" s="1"/>
      <c r="I875" s="1"/>
      <c r="J875" s="1"/>
      <c r="K875" s="1"/>
    </row>
    <row r="876" spans="2:11" ht="14.25" customHeight="1" x14ac:dyDescent="0.55000000000000004">
      <c r="B876" s="1"/>
      <c r="I876" s="1"/>
      <c r="J876" s="1"/>
      <c r="K876" s="1"/>
    </row>
    <row r="877" spans="2:11" ht="14.25" customHeight="1" x14ac:dyDescent="0.55000000000000004">
      <c r="B877" s="1"/>
      <c r="I877" s="1"/>
      <c r="J877" s="1"/>
      <c r="K877" s="1"/>
    </row>
    <row r="878" spans="2:11" ht="14.25" customHeight="1" x14ac:dyDescent="0.55000000000000004">
      <c r="B878" s="1"/>
      <c r="I878" s="1"/>
      <c r="J878" s="1"/>
      <c r="K878" s="1"/>
    </row>
    <row r="879" spans="2:11" ht="14.25" customHeight="1" x14ac:dyDescent="0.55000000000000004">
      <c r="B879" s="1"/>
      <c r="I879" s="1"/>
      <c r="J879" s="1"/>
      <c r="K879" s="1"/>
    </row>
    <row r="880" spans="2:11" ht="14.25" customHeight="1" x14ac:dyDescent="0.55000000000000004">
      <c r="B880" s="1"/>
      <c r="I880" s="1"/>
      <c r="J880" s="1"/>
      <c r="K880" s="1"/>
    </row>
    <row r="881" spans="2:11" ht="14.25" customHeight="1" x14ac:dyDescent="0.55000000000000004">
      <c r="B881" s="1"/>
      <c r="I881" s="1"/>
      <c r="J881" s="1"/>
      <c r="K881" s="1"/>
    </row>
    <row r="882" spans="2:11" ht="14.25" customHeight="1" x14ac:dyDescent="0.55000000000000004">
      <c r="B882" s="1"/>
      <c r="I882" s="1"/>
      <c r="J882" s="1"/>
      <c r="K882" s="1"/>
    </row>
    <row r="883" spans="2:11" ht="14.25" customHeight="1" x14ac:dyDescent="0.55000000000000004">
      <c r="B883" s="1"/>
      <c r="I883" s="1"/>
      <c r="J883" s="1"/>
      <c r="K883" s="1"/>
    </row>
    <row r="884" spans="2:11" ht="14.25" customHeight="1" x14ac:dyDescent="0.55000000000000004">
      <c r="B884" s="1"/>
      <c r="I884" s="1"/>
      <c r="J884" s="1"/>
      <c r="K884" s="1"/>
    </row>
    <row r="885" spans="2:11" ht="14.25" customHeight="1" x14ac:dyDescent="0.55000000000000004">
      <c r="B885" s="1"/>
      <c r="I885" s="1"/>
      <c r="J885" s="1"/>
      <c r="K885" s="1"/>
    </row>
    <row r="886" spans="2:11" ht="14.25" customHeight="1" x14ac:dyDescent="0.55000000000000004">
      <c r="B886" s="1"/>
      <c r="I886" s="1"/>
      <c r="J886" s="1"/>
      <c r="K886" s="1"/>
    </row>
    <row r="887" spans="2:11" ht="14.25" customHeight="1" x14ac:dyDescent="0.55000000000000004">
      <c r="B887" s="1"/>
      <c r="I887" s="1"/>
      <c r="J887" s="1"/>
      <c r="K887" s="1"/>
    </row>
    <row r="888" spans="2:11" ht="14.25" customHeight="1" x14ac:dyDescent="0.55000000000000004">
      <c r="B888" s="1"/>
      <c r="I888" s="1"/>
      <c r="J888" s="1"/>
      <c r="K888" s="1"/>
    </row>
    <row r="889" spans="2:11" ht="14.25" customHeight="1" x14ac:dyDescent="0.55000000000000004">
      <c r="B889" s="1"/>
      <c r="I889" s="1"/>
      <c r="J889" s="1"/>
      <c r="K889" s="1"/>
    </row>
    <row r="890" spans="2:11" ht="14.25" customHeight="1" x14ac:dyDescent="0.55000000000000004">
      <c r="B890" s="1"/>
      <c r="I890" s="1"/>
      <c r="J890" s="1"/>
      <c r="K890" s="1"/>
    </row>
    <row r="891" spans="2:11" ht="14.25" customHeight="1" x14ac:dyDescent="0.55000000000000004">
      <c r="B891" s="1"/>
      <c r="I891" s="1"/>
      <c r="J891" s="1"/>
      <c r="K891" s="1"/>
    </row>
    <row r="892" spans="2:11" ht="14.25" customHeight="1" x14ac:dyDescent="0.55000000000000004">
      <c r="B892" s="1"/>
      <c r="I892" s="1"/>
      <c r="J892" s="1"/>
      <c r="K892" s="1"/>
    </row>
    <row r="893" spans="2:11" ht="14.25" customHeight="1" x14ac:dyDescent="0.55000000000000004">
      <c r="B893" s="1"/>
      <c r="I893" s="1"/>
      <c r="J893" s="1"/>
      <c r="K893" s="1"/>
    </row>
    <row r="894" spans="2:11" ht="14.25" customHeight="1" x14ac:dyDescent="0.55000000000000004">
      <c r="B894" s="1"/>
      <c r="I894" s="1"/>
      <c r="J894" s="1"/>
      <c r="K894" s="1"/>
    </row>
    <row r="895" spans="2:11" ht="14.25" customHeight="1" x14ac:dyDescent="0.55000000000000004">
      <c r="B895" s="1"/>
      <c r="I895" s="1"/>
      <c r="J895" s="1"/>
      <c r="K895" s="1"/>
    </row>
    <row r="896" spans="2:11" ht="14.25" customHeight="1" x14ac:dyDescent="0.55000000000000004">
      <c r="B896" s="1"/>
      <c r="I896" s="1"/>
      <c r="J896" s="1"/>
      <c r="K896" s="1"/>
    </row>
    <row r="897" spans="2:11" ht="14.25" customHeight="1" x14ac:dyDescent="0.55000000000000004">
      <c r="B897" s="1"/>
      <c r="I897" s="1"/>
      <c r="J897" s="1"/>
      <c r="K897" s="1"/>
    </row>
    <row r="898" spans="2:11" ht="14.25" customHeight="1" x14ac:dyDescent="0.55000000000000004">
      <c r="B898" s="1"/>
      <c r="I898" s="1"/>
      <c r="J898" s="1"/>
      <c r="K898" s="1"/>
    </row>
    <row r="899" spans="2:11" ht="14.25" customHeight="1" x14ac:dyDescent="0.55000000000000004">
      <c r="B899" s="1"/>
      <c r="I899" s="1"/>
      <c r="J899" s="1"/>
      <c r="K899" s="1"/>
    </row>
    <row r="900" spans="2:11" ht="14.25" customHeight="1" x14ac:dyDescent="0.55000000000000004">
      <c r="B900" s="1"/>
      <c r="I900" s="1"/>
      <c r="J900" s="1"/>
      <c r="K900" s="1"/>
    </row>
    <row r="901" spans="2:11" ht="14.25" customHeight="1" x14ac:dyDescent="0.55000000000000004">
      <c r="B901" s="1"/>
      <c r="I901" s="1"/>
      <c r="J901" s="1"/>
      <c r="K901" s="1"/>
    </row>
    <row r="902" spans="2:11" ht="14.25" customHeight="1" x14ac:dyDescent="0.55000000000000004">
      <c r="B902" s="1"/>
      <c r="I902" s="1"/>
      <c r="J902" s="1"/>
      <c r="K902" s="1"/>
    </row>
    <row r="903" spans="2:11" ht="14.25" customHeight="1" x14ac:dyDescent="0.55000000000000004">
      <c r="B903" s="1"/>
      <c r="I903" s="1"/>
      <c r="J903" s="1"/>
      <c r="K903" s="1"/>
    </row>
    <row r="904" spans="2:11" ht="14.25" customHeight="1" x14ac:dyDescent="0.55000000000000004">
      <c r="B904" s="1"/>
      <c r="I904" s="1"/>
      <c r="J904" s="1"/>
      <c r="K904" s="1"/>
    </row>
    <row r="905" spans="2:11" ht="14.25" customHeight="1" x14ac:dyDescent="0.55000000000000004">
      <c r="B905" s="1"/>
      <c r="I905" s="1"/>
      <c r="J905" s="1"/>
      <c r="K905" s="1"/>
    </row>
    <row r="906" spans="2:11" ht="14.25" customHeight="1" x14ac:dyDescent="0.55000000000000004">
      <c r="B906" s="1"/>
      <c r="I906" s="1"/>
      <c r="J906" s="1"/>
      <c r="K906" s="1"/>
    </row>
    <row r="907" spans="2:11" ht="14.25" customHeight="1" x14ac:dyDescent="0.55000000000000004">
      <c r="B907" s="1"/>
      <c r="I907" s="1"/>
      <c r="J907" s="1"/>
      <c r="K907" s="1"/>
    </row>
    <row r="908" spans="2:11" ht="14.25" customHeight="1" x14ac:dyDescent="0.55000000000000004">
      <c r="B908" s="1"/>
      <c r="I908" s="1"/>
      <c r="J908" s="1"/>
      <c r="K908" s="1"/>
    </row>
    <row r="909" spans="2:11" ht="14.25" customHeight="1" x14ac:dyDescent="0.55000000000000004">
      <c r="B909" s="1"/>
      <c r="I909" s="1"/>
      <c r="J909" s="1"/>
      <c r="K909" s="1"/>
    </row>
    <row r="910" spans="2:11" ht="14.25" customHeight="1" x14ac:dyDescent="0.55000000000000004">
      <c r="B910" s="1"/>
      <c r="I910" s="1"/>
      <c r="J910" s="1"/>
      <c r="K910" s="1"/>
    </row>
    <row r="911" spans="2:11" ht="14.25" customHeight="1" x14ac:dyDescent="0.55000000000000004">
      <c r="B911" s="1"/>
      <c r="I911" s="1"/>
      <c r="J911" s="1"/>
      <c r="K911" s="1"/>
    </row>
    <row r="912" spans="2:11" ht="14.25" customHeight="1" x14ac:dyDescent="0.55000000000000004">
      <c r="B912" s="1"/>
      <c r="I912" s="1"/>
      <c r="J912" s="1"/>
      <c r="K912" s="1"/>
    </row>
    <row r="913" spans="2:11" ht="14.25" customHeight="1" x14ac:dyDescent="0.55000000000000004">
      <c r="B913" s="1"/>
      <c r="I913" s="1"/>
      <c r="J913" s="1"/>
      <c r="K913" s="1"/>
    </row>
    <row r="914" spans="2:11" ht="14.25" customHeight="1" x14ac:dyDescent="0.55000000000000004">
      <c r="B914" s="1"/>
      <c r="I914" s="1"/>
      <c r="J914" s="1"/>
      <c r="K914" s="1"/>
    </row>
    <row r="915" spans="2:11" ht="14.25" customHeight="1" x14ac:dyDescent="0.55000000000000004">
      <c r="B915" s="1"/>
      <c r="I915" s="1"/>
      <c r="J915" s="1"/>
      <c r="K915" s="1"/>
    </row>
    <row r="916" spans="2:11" ht="14.25" customHeight="1" x14ac:dyDescent="0.55000000000000004">
      <c r="B916" s="1"/>
      <c r="I916" s="1"/>
      <c r="J916" s="1"/>
      <c r="K916" s="1"/>
    </row>
    <row r="917" spans="2:11" ht="14.25" customHeight="1" x14ac:dyDescent="0.55000000000000004">
      <c r="B917" s="1"/>
      <c r="I917" s="1"/>
      <c r="J917" s="1"/>
      <c r="K917" s="1"/>
    </row>
    <row r="918" spans="2:11" ht="14.25" customHeight="1" x14ac:dyDescent="0.55000000000000004">
      <c r="B918" s="1"/>
      <c r="I918" s="1"/>
      <c r="J918" s="1"/>
      <c r="K918" s="1"/>
    </row>
    <row r="919" spans="2:11" ht="14.25" customHeight="1" x14ac:dyDescent="0.55000000000000004">
      <c r="B919" s="1"/>
      <c r="I919" s="1"/>
      <c r="J919" s="1"/>
      <c r="K919" s="1"/>
    </row>
    <row r="920" spans="2:11" ht="14.25" customHeight="1" x14ac:dyDescent="0.55000000000000004">
      <c r="B920" s="1"/>
      <c r="I920" s="1"/>
      <c r="J920" s="1"/>
      <c r="K920" s="1"/>
    </row>
    <row r="921" spans="2:11" ht="14.25" customHeight="1" x14ac:dyDescent="0.55000000000000004">
      <c r="B921" s="1"/>
      <c r="I921" s="1"/>
      <c r="J921" s="1"/>
      <c r="K921" s="1"/>
    </row>
    <row r="922" spans="2:11" ht="14.25" customHeight="1" x14ac:dyDescent="0.55000000000000004">
      <c r="B922" s="1"/>
      <c r="I922" s="1"/>
      <c r="J922" s="1"/>
      <c r="K922" s="1"/>
    </row>
    <row r="923" spans="2:11" ht="14.25" customHeight="1" x14ac:dyDescent="0.55000000000000004">
      <c r="B923" s="1"/>
      <c r="I923" s="1"/>
      <c r="J923" s="1"/>
      <c r="K923" s="1"/>
    </row>
    <row r="924" spans="2:11" ht="14.25" customHeight="1" x14ac:dyDescent="0.55000000000000004">
      <c r="B924" s="1"/>
      <c r="I924" s="1"/>
      <c r="J924" s="1"/>
      <c r="K924" s="1"/>
    </row>
    <row r="925" spans="2:11" ht="14.25" customHeight="1" x14ac:dyDescent="0.55000000000000004">
      <c r="B925" s="1"/>
      <c r="I925" s="1"/>
      <c r="J925" s="1"/>
      <c r="K925" s="1"/>
    </row>
    <row r="926" spans="2:11" ht="14.25" customHeight="1" x14ac:dyDescent="0.55000000000000004">
      <c r="B926" s="1"/>
      <c r="I926" s="1"/>
      <c r="J926" s="1"/>
      <c r="K926" s="1"/>
    </row>
    <row r="927" spans="2:11" ht="14.25" customHeight="1" x14ac:dyDescent="0.55000000000000004">
      <c r="B927" s="1"/>
      <c r="I927" s="1"/>
      <c r="J927" s="1"/>
      <c r="K927" s="1"/>
    </row>
    <row r="928" spans="2:11" ht="14.25" customHeight="1" x14ac:dyDescent="0.55000000000000004">
      <c r="B928" s="1"/>
      <c r="I928" s="1"/>
      <c r="J928" s="1"/>
      <c r="K928" s="1"/>
    </row>
    <row r="929" spans="2:11" ht="14.25" customHeight="1" x14ac:dyDescent="0.55000000000000004">
      <c r="B929" s="1"/>
      <c r="I929" s="1"/>
      <c r="J929" s="1"/>
      <c r="K929" s="1"/>
    </row>
    <row r="930" spans="2:11" ht="14.25" customHeight="1" x14ac:dyDescent="0.55000000000000004">
      <c r="B930" s="1"/>
      <c r="I930" s="1"/>
      <c r="J930" s="1"/>
      <c r="K930" s="1"/>
    </row>
    <row r="931" spans="2:11" ht="14.25" customHeight="1" x14ac:dyDescent="0.55000000000000004">
      <c r="B931" s="1"/>
      <c r="I931" s="1"/>
      <c r="J931" s="1"/>
      <c r="K931" s="1"/>
    </row>
    <row r="932" spans="2:11" ht="14.25" customHeight="1" x14ac:dyDescent="0.55000000000000004">
      <c r="B932" s="1"/>
      <c r="I932" s="1"/>
      <c r="J932" s="1"/>
      <c r="K932" s="1"/>
    </row>
    <row r="933" spans="2:11" ht="14.25" customHeight="1" x14ac:dyDescent="0.55000000000000004">
      <c r="B933" s="1"/>
      <c r="I933" s="1"/>
      <c r="J933" s="1"/>
      <c r="K933" s="1"/>
    </row>
    <row r="934" spans="2:11" ht="14.25" customHeight="1" x14ac:dyDescent="0.55000000000000004">
      <c r="B934" s="1"/>
      <c r="I934" s="1"/>
      <c r="J934" s="1"/>
      <c r="K934" s="1"/>
    </row>
    <row r="935" spans="2:11" ht="14.25" customHeight="1" x14ac:dyDescent="0.55000000000000004">
      <c r="B935" s="1"/>
      <c r="I935" s="1"/>
      <c r="J935" s="1"/>
      <c r="K935" s="1"/>
    </row>
    <row r="936" spans="2:11" ht="14.25" customHeight="1" x14ac:dyDescent="0.55000000000000004">
      <c r="B936" s="1"/>
      <c r="I936" s="1"/>
      <c r="J936" s="1"/>
      <c r="K936" s="1"/>
    </row>
    <row r="937" spans="2:11" ht="14.25" customHeight="1" x14ac:dyDescent="0.55000000000000004">
      <c r="B937" s="1"/>
      <c r="I937" s="1"/>
      <c r="J937" s="1"/>
      <c r="K937" s="1"/>
    </row>
    <row r="938" spans="2:11" ht="14.25" customHeight="1" x14ac:dyDescent="0.55000000000000004">
      <c r="B938" s="1"/>
      <c r="I938" s="1"/>
      <c r="J938" s="1"/>
      <c r="K938" s="1"/>
    </row>
    <row r="939" spans="2:11" ht="14.25" customHeight="1" x14ac:dyDescent="0.55000000000000004">
      <c r="B939" s="1"/>
      <c r="I939" s="1"/>
      <c r="J939" s="1"/>
      <c r="K939" s="1"/>
    </row>
    <row r="940" spans="2:11" ht="14.25" customHeight="1" x14ac:dyDescent="0.55000000000000004">
      <c r="B940" s="1"/>
      <c r="I940" s="1"/>
      <c r="J940" s="1"/>
      <c r="K940" s="1"/>
    </row>
    <row r="941" spans="2:11" ht="14.25" customHeight="1" x14ac:dyDescent="0.55000000000000004">
      <c r="B941" s="1"/>
      <c r="I941" s="1"/>
      <c r="J941" s="1"/>
      <c r="K941" s="1"/>
    </row>
    <row r="942" spans="2:11" ht="14.25" customHeight="1" x14ac:dyDescent="0.55000000000000004">
      <c r="B942" s="1"/>
      <c r="I942" s="1"/>
      <c r="J942" s="1"/>
      <c r="K942" s="1"/>
    </row>
    <row r="943" spans="2:11" ht="14.25" customHeight="1" x14ac:dyDescent="0.55000000000000004">
      <c r="B943" s="1"/>
      <c r="I943" s="1"/>
      <c r="J943" s="1"/>
      <c r="K943" s="1"/>
    </row>
    <row r="944" spans="2:11" ht="14.25" customHeight="1" x14ac:dyDescent="0.55000000000000004">
      <c r="B944" s="1"/>
      <c r="I944" s="1"/>
      <c r="J944" s="1"/>
      <c r="K944" s="1"/>
    </row>
    <row r="945" spans="2:11" ht="14.25" customHeight="1" x14ac:dyDescent="0.55000000000000004">
      <c r="B945" s="1"/>
      <c r="I945" s="1"/>
      <c r="J945" s="1"/>
      <c r="K945" s="1"/>
    </row>
    <row r="946" spans="2:11" ht="14.25" customHeight="1" x14ac:dyDescent="0.55000000000000004">
      <c r="B946" s="1"/>
      <c r="I946" s="1"/>
      <c r="J946" s="1"/>
      <c r="K946" s="1"/>
    </row>
    <row r="947" spans="2:11" ht="14.25" customHeight="1" x14ac:dyDescent="0.55000000000000004">
      <c r="B947" s="1"/>
      <c r="I947" s="1"/>
      <c r="J947" s="1"/>
      <c r="K947" s="1"/>
    </row>
    <row r="948" spans="2:11" ht="14.25" customHeight="1" x14ac:dyDescent="0.55000000000000004">
      <c r="B948" s="1"/>
      <c r="I948" s="1"/>
      <c r="J948" s="1"/>
      <c r="K948" s="1"/>
    </row>
    <row r="949" spans="2:11" ht="14.25" customHeight="1" x14ac:dyDescent="0.55000000000000004">
      <c r="B949" s="1"/>
      <c r="I949" s="1"/>
      <c r="J949" s="1"/>
      <c r="K949" s="1"/>
    </row>
    <row r="950" spans="2:11" ht="14.25" customHeight="1" x14ac:dyDescent="0.55000000000000004">
      <c r="B950" s="1"/>
      <c r="I950" s="1"/>
      <c r="J950" s="1"/>
      <c r="K950" s="1"/>
    </row>
    <row r="951" spans="2:11" ht="14.25" customHeight="1" x14ac:dyDescent="0.55000000000000004">
      <c r="B951" s="1"/>
      <c r="I951" s="1"/>
      <c r="J951" s="1"/>
      <c r="K951" s="1"/>
    </row>
    <row r="952" spans="2:11" ht="14.25" customHeight="1" x14ac:dyDescent="0.55000000000000004">
      <c r="B952" s="1"/>
      <c r="I952" s="1"/>
      <c r="J952" s="1"/>
      <c r="K952" s="1"/>
    </row>
    <row r="953" spans="2:11" ht="14.25" customHeight="1" x14ac:dyDescent="0.55000000000000004">
      <c r="B953" s="1"/>
      <c r="I953" s="1"/>
      <c r="J953" s="1"/>
      <c r="K953" s="1"/>
    </row>
    <row r="954" spans="2:11" ht="14.25" customHeight="1" x14ac:dyDescent="0.55000000000000004">
      <c r="B954" s="1"/>
      <c r="I954" s="1"/>
      <c r="J954" s="1"/>
      <c r="K954" s="1"/>
    </row>
    <row r="955" spans="2:11" ht="14.25" customHeight="1" x14ac:dyDescent="0.55000000000000004">
      <c r="B955" s="1"/>
      <c r="I955" s="1"/>
      <c r="J955" s="1"/>
      <c r="K955" s="1"/>
    </row>
    <row r="956" spans="2:11" ht="14.25" customHeight="1" x14ac:dyDescent="0.55000000000000004">
      <c r="B956" s="1"/>
      <c r="I956" s="1"/>
      <c r="J956" s="1"/>
      <c r="K956" s="1"/>
    </row>
    <row r="957" spans="2:11" ht="14.25" customHeight="1" x14ac:dyDescent="0.55000000000000004">
      <c r="B957" s="1"/>
      <c r="I957" s="1"/>
      <c r="J957" s="1"/>
      <c r="K957" s="1"/>
    </row>
    <row r="958" spans="2:11" ht="14.25" customHeight="1" x14ac:dyDescent="0.55000000000000004">
      <c r="B958" s="1"/>
      <c r="I958" s="1"/>
      <c r="J958" s="1"/>
      <c r="K958" s="1"/>
    </row>
    <row r="959" spans="2:11" ht="14.25" customHeight="1" x14ac:dyDescent="0.55000000000000004">
      <c r="B959" s="1"/>
      <c r="I959" s="1"/>
      <c r="J959" s="1"/>
      <c r="K959" s="1"/>
    </row>
    <row r="960" spans="2:11" ht="14.25" customHeight="1" x14ac:dyDescent="0.55000000000000004">
      <c r="B960" s="1"/>
      <c r="I960" s="1"/>
      <c r="J960" s="1"/>
      <c r="K960" s="1"/>
    </row>
    <row r="961" spans="2:11" ht="14.25" customHeight="1" x14ac:dyDescent="0.55000000000000004">
      <c r="B961" s="1"/>
      <c r="I961" s="1"/>
      <c r="J961" s="1"/>
      <c r="K961" s="1"/>
    </row>
    <row r="962" spans="2:11" ht="14.25" customHeight="1" x14ac:dyDescent="0.55000000000000004">
      <c r="B962" s="1"/>
      <c r="I962" s="1"/>
      <c r="J962" s="1"/>
      <c r="K962" s="1"/>
    </row>
    <row r="963" spans="2:11" ht="14.25" customHeight="1" x14ac:dyDescent="0.55000000000000004">
      <c r="B963" s="1"/>
      <c r="I963" s="1"/>
      <c r="J963" s="1"/>
      <c r="K963" s="1"/>
    </row>
    <row r="964" spans="2:11" ht="14.25" customHeight="1" x14ac:dyDescent="0.55000000000000004">
      <c r="B964" s="1"/>
      <c r="I964" s="1"/>
      <c r="J964" s="1"/>
      <c r="K964" s="1"/>
    </row>
    <row r="965" spans="2:11" ht="14.25" customHeight="1" x14ac:dyDescent="0.55000000000000004">
      <c r="B965" s="1"/>
      <c r="I965" s="1"/>
      <c r="J965" s="1"/>
      <c r="K965" s="1"/>
    </row>
    <row r="966" spans="2:11" ht="14.25" customHeight="1" x14ac:dyDescent="0.55000000000000004">
      <c r="B966" s="1"/>
      <c r="I966" s="1"/>
      <c r="J966" s="1"/>
      <c r="K966" s="1"/>
    </row>
    <row r="967" spans="2:11" ht="14.25" customHeight="1" x14ac:dyDescent="0.55000000000000004">
      <c r="B967" s="1"/>
      <c r="I967" s="1"/>
      <c r="J967" s="1"/>
      <c r="K967" s="1"/>
    </row>
    <row r="968" spans="2:11" ht="14.25" customHeight="1" x14ac:dyDescent="0.55000000000000004">
      <c r="B968" s="1"/>
      <c r="I968" s="1"/>
      <c r="J968" s="1"/>
      <c r="K968" s="1"/>
    </row>
    <row r="969" spans="2:11" ht="14.25" customHeight="1" x14ac:dyDescent="0.55000000000000004">
      <c r="B969" s="1"/>
      <c r="I969" s="1"/>
      <c r="J969" s="1"/>
      <c r="K969" s="1"/>
    </row>
    <row r="970" spans="2:11" ht="14.25" customHeight="1" x14ac:dyDescent="0.55000000000000004">
      <c r="B970" s="1"/>
      <c r="I970" s="1"/>
      <c r="J970" s="1"/>
      <c r="K970" s="1"/>
    </row>
    <row r="971" spans="2:11" ht="14.25" customHeight="1" x14ac:dyDescent="0.55000000000000004">
      <c r="B971" s="1"/>
      <c r="I971" s="1"/>
      <c r="J971" s="1"/>
      <c r="K971" s="1"/>
    </row>
    <row r="972" spans="2:11" ht="14.25" customHeight="1" x14ac:dyDescent="0.55000000000000004">
      <c r="B972" s="1"/>
      <c r="I972" s="1"/>
      <c r="J972" s="1"/>
      <c r="K972" s="1"/>
    </row>
    <row r="973" spans="2:11" ht="14.25" customHeight="1" x14ac:dyDescent="0.55000000000000004">
      <c r="B973" s="1"/>
      <c r="I973" s="1"/>
      <c r="J973" s="1"/>
      <c r="K973" s="1"/>
    </row>
    <row r="974" spans="2:11" ht="14.25" customHeight="1" x14ac:dyDescent="0.55000000000000004">
      <c r="B974" s="1"/>
      <c r="I974" s="1"/>
      <c r="J974" s="1"/>
      <c r="K974" s="1"/>
    </row>
    <row r="975" spans="2:11" ht="14.25" customHeight="1" x14ac:dyDescent="0.55000000000000004">
      <c r="B975" s="1"/>
      <c r="I975" s="1"/>
      <c r="J975" s="1"/>
      <c r="K975" s="1"/>
    </row>
    <row r="976" spans="2:11" ht="14.25" customHeight="1" x14ac:dyDescent="0.55000000000000004">
      <c r="B976" s="1"/>
      <c r="I976" s="1"/>
      <c r="J976" s="1"/>
      <c r="K976" s="1"/>
    </row>
    <row r="977" spans="2:11" ht="14.25" customHeight="1" x14ac:dyDescent="0.55000000000000004">
      <c r="B977" s="1"/>
      <c r="I977" s="1"/>
      <c r="J977" s="1"/>
      <c r="K977" s="1"/>
    </row>
    <row r="978" spans="2:11" ht="14.25" customHeight="1" x14ac:dyDescent="0.55000000000000004">
      <c r="B978" s="1"/>
      <c r="I978" s="1"/>
      <c r="J978" s="1"/>
      <c r="K978" s="1"/>
    </row>
    <row r="979" spans="2:11" ht="14.25" customHeight="1" x14ac:dyDescent="0.55000000000000004">
      <c r="B979" s="1"/>
      <c r="I979" s="1"/>
      <c r="J979" s="1"/>
      <c r="K979" s="1"/>
    </row>
    <row r="980" spans="2:11" ht="14.25" customHeight="1" x14ac:dyDescent="0.55000000000000004">
      <c r="B980" s="1"/>
      <c r="I980" s="1"/>
      <c r="J980" s="1"/>
      <c r="K980" s="1"/>
    </row>
    <row r="981" spans="2:11" ht="14.25" customHeight="1" x14ac:dyDescent="0.55000000000000004">
      <c r="B981" s="1"/>
      <c r="I981" s="1"/>
      <c r="J981" s="1"/>
      <c r="K981" s="1"/>
    </row>
    <row r="982" spans="2:11" ht="14.25" customHeight="1" x14ac:dyDescent="0.55000000000000004">
      <c r="B982" s="1"/>
      <c r="I982" s="1"/>
      <c r="J982" s="1"/>
      <c r="K982" s="1"/>
    </row>
    <row r="983" spans="2:11" ht="14.25" customHeight="1" x14ac:dyDescent="0.55000000000000004">
      <c r="B983" s="1"/>
      <c r="I983" s="1"/>
      <c r="J983" s="1"/>
      <c r="K983" s="1"/>
    </row>
    <row r="984" spans="2:11" ht="14.25" customHeight="1" x14ac:dyDescent="0.55000000000000004">
      <c r="B984" s="1"/>
      <c r="I984" s="1"/>
      <c r="J984" s="1"/>
      <c r="K984" s="1"/>
    </row>
    <row r="985" spans="2:11" ht="14.25" customHeight="1" x14ac:dyDescent="0.55000000000000004">
      <c r="B985" s="1"/>
      <c r="I985" s="1"/>
      <c r="J985" s="1"/>
      <c r="K985" s="1"/>
    </row>
    <row r="986" spans="2:11" ht="14.25" customHeight="1" x14ac:dyDescent="0.55000000000000004">
      <c r="B986" s="1"/>
      <c r="I986" s="1"/>
      <c r="J986" s="1"/>
      <c r="K986" s="1"/>
    </row>
    <row r="987" spans="2:11" ht="14.25" customHeight="1" x14ac:dyDescent="0.55000000000000004">
      <c r="B987" s="1"/>
      <c r="I987" s="1"/>
      <c r="J987" s="1"/>
      <c r="K987" s="1"/>
    </row>
    <row r="988" spans="2:11" ht="14.25" customHeight="1" x14ac:dyDescent="0.55000000000000004">
      <c r="B988" s="1"/>
      <c r="I988" s="1"/>
      <c r="J988" s="1"/>
      <c r="K988" s="1"/>
    </row>
    <row r="989" spans="2:11" ht="14.25" customHeight="1" x14ac:dyDescent="0.55000000000000004">
      <c r="B989" s="1"/>
      <c r="I989" s="1"/>
      <c r="J989" s="1"/>
      <c r="K989" s="1"/>
    </row>
    <row r="990" spans="2:11" ht="14.25" customHeight="1" x14ac:dyDescent="0.55000000000000004">
      <c r="B990" s="1"/>
      <c r="I990" s="1"/>
      <c r="J990" s="1"/>
      <c r="K990" s="1"/>
    </row>
    <row r="991" spans="2:11" ht="14.25" customHeight="1" x14ac:dyDescent="0.55000000000000004">
      <c r="B991" s="1"/>
      <c r="I991" s="1"/>
      <c r="J991" s="1"/>
      <c r="K991" s="1"/>
    </row>
    <row r="992" spans="2:11" ht="14.25" customHeight="1" x14ac:dyDescent="0.55000000000000004">
      <c r="B992" s="1"/>
      <c r="I992" s="1"/>
      <c r="J992" s="1"/>
      <c r="K992" s="1"/>
    </row>
    <row r="993" spans="2:11" ht="14.25" customHeight="1" x14ac:dyDescent="0.55000000000000004">
      <c r="B993" s="1"/>
      <c r="I993" s="1"/>
      <c r="J993" s="1"/>
      <c r="K993" s="1"/>
    </row>
    <row r="994" spans="2:11" ht="14.25" customHeight="1" x14ac:dyDescent="0.55000000000000004">
      <c r="B994" s="1"/>
      <c r="I994" s="1"/>
      <c r="J994" s="1"/>
      <c r="K994" s="1"/>
    </row>
    <row r="995" spans="2:11" ht="14.25" customHeight="1" x14ac:dyDescent="0.55000000000000004">
      <c r="B995" s="1"/>
      <c r="I995" s="1"/>
      <c r="J995" s="1"/>
      <c r="K995" s="1"/>
    </row>
    <row r="996" spans="2:11" ht="14.25" customHeight="1" x14ac:dyDescent="0.55000000000000004">
      <c r="B996" s="1"/>
      <c r="I996" s="1"/>
      <c r="J996" s="1"/>
      <c r="K996" s="1"/>
    </row>
    <row r="997" spans="2:11" ht="14.25" customHeight="1" x14ac:dyDescent="0.55000000000000004">
      <c r="B997" s="1"/>
      <c r="I997" s="1"/>
      <c r="J997" s="1"/>
      <c r="K997" s="1"/>
    </row>
    <row r="998" spans="2:11" ht="14.25" customHeight="1" x14ac:dyDescent="0.55000000000000004">
      <c r="B998" s="1"/>
      <c r="I998" s="1"/>
      <c r="J998" s="1"/>
      <c r="K998" s="1"/>
    </row>
    <row r="999" spans="2:11" ht="14.25" customHeight="1" x14ac:dyDescent="0.55000000000000004">
      <c r="B999" s="1"/>
      <c r="I999" s="1"/>
      <c r="J999" s="1"/>
      <c r="K999" s="1"/>
    </row>
    <row r="1000" spans="2:11" ht="14.25" customHeight="1" x14ac:dyDescent="0.55000000000000004">
      <c r="B1000" s="1"/>
      <c r="I1000" s="1"/>
      <c r="J1000" s="1"/>
      <c r="K1000" s="1"/>
    </row>
  </sheetData>
  <mergeCells count="5">
    <mergeCell ref="C3:C4"/>
    <mergeCell ref="D3:D4"/>
    <mergeCell ref="E3:G3"/>
    <mergeCell ref="H3:H4"/>
    <mergeCell ref="I3:K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1000"/>
  <sheetViews>
    <sheetView workbookViewId="0"/>
  </sheetViews>
  <sheetFormatPr defaultColWidth="14.41796875" defaultRowHeight="15" customHeight="1" x14ac:dyDescent="0.55000000000000004"/>
  <cols>
    <col min="1" max="1" width="17.26171875" customWidth="1"/>
    <col min="2" max="64" width="10" customWidth="1"/>
  </cols>
  <sheetData>
    <row r="1" spans="1:64" ht="14.25" customHeight="1" x14ac:dyDescent="0.6">
      <c r="A1" s="56" t="s">
        <v>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3">
        <v>1</v>
      </c>
      <c r="B4" s="23">
        <v>1165</v>
      </c>
      <c r="C4" s="23">
        <f t="shared" ref="C4:D4" si="0">SUM(F4,I4,L4,O4,R4,U4,X4,AA4,AD4,AG4,AJ4,AM4,AP4,AS4,AV4,AY4,BB4,BE4,BH4,BK4)</f>
        <v>555</v>
      </c>
      <c r="D4" s="23">
        <f t="shared" si="0"/>
        <v>610</v>
      </c>
      <c r="E4" s="23">
        <v>80</v>
      </c>
      <c r="F4" s="23">
        <v>42</v>
      </c>
      <c r="G4" s="23">
        <v>38</v>
      </c>
      <c r="H4" s="23">
        <v>117</v>
      </c>
      <c r="I4" s="23">
        <v>53</v>
      </c>
      <c r="J4" s="23">
        <v>64</v>
      </c>
      <c r="K4" s="23">
        <v>126</v>
      </c>
      <c r="L4" s="23">
        <v>59</v>
      </c>
      <c r="M4" s="23">
        <v>67</v>
      </c>
      <c r="N4" s="23">
        <v>93</v>
      </c>
      <c r="O4" s="23">
        <v>47</v>
      </c>
      <c r="P4" s="23">
        <v>46</v>
      </c>
      <c r="Q4" s="23">
        <v>88</v>
      </c>
      <c r="R4" s="23">
        <v>36</v>
      </c>
      <c r="S4" s="23">
        <v>52</v>
      </c>
      <c r="T4" s="23">
        <v>92</v>
      </c>
      <c r="U4" s="23">
        <v>42</v>
      </c>
      <c r="V4" s="23">
        <v>50</v>
      </c>
      <c r="W4" s="23">
        <v>80</v>
      </c>
      <c r="X4" s="23">
        <v>36</v>
      </c>
      <c r="Y4" s="23">
        <v>44</v>
      </c>
      <c r="Z4" s="23">
        <v>85</v>
      </c>
      <c r="AA4" s="23">
        <v>45</v>
      </c>
      <c r="AB4" s="23">
        <v>40</v>
      </c>
      <c r="AC4" s="23">
        <v>98</v>
      </c>
      <c r="AD4" s="23">
        <v>48</v>
      </c>
      <c r="AE4" s="23">
        <v>50</v>
      </c>
      <c r="AF4" s="23">
        <v>65</v>
      </c>
      <c r="AG4" s="23">
        <v>30</v>
      </c>
      <c r="AH4" s="23">
        <v>35</v>
      </c>
      <c r="AI4" s="23">
        <v>43</v>
      </c>
      <c r="AJ4" s="23">
        <v>22</v>
      </c>
      <c r="AK4" s="23">
        <v>21</v>
      </c>
      <c r="AL4" s="23">
        <v>47</v>
      </c>
      <c r="AM4" s="23">
        <v>22</v>
      </c>
      <c r="AN4" s="23">
        <v>25</v>
      </c>
      <c r="AO4" s="23">
        <v>45</v>
      </c>
      <c r="AP4" s="23">
        <v>22</v>
      </c>
      <c r="AQ4" s="23">
        <v>23</v>
      </c>
      <c r="AR4" s="23">
        <v>37</v>
      </c>
      <c r="AS4" s="23">
        <v>16</v>
      </c>
      <c r="AT4" s="23">
        <v>21</v>
      </c>
      <c r="AU4" s="23">
        <v>32</v>
      </c>
      <c r="AV4" s="23">
        <v>17</v>
      </c>
      <c r="AW4" s="23">
        <v>15</v>
      </c>
      <c r="AX4" s="23">
        <v>21</v>
      </c>
      <c r="AY4" s="23">
        <v>11</v>
      </c>
      <c r="AZ4" s="23">
        <v>10</v>
      </c>
      <c r="BA4" s="23">
        <v>11</v>
      </c>
      <c r="BB4" s="23">
        <v>5</v>
      </c>
      <c r="BC4" s="23">
        <v>6</v>
      </c>
      <c r="BD4" s="23">
        <v>5</v>
      </c>
      <c r="BE4" s="23">
        <v>2</v>
      </c>
      <c r="BF4" s="23">
        <v>3</v>
      </c>
      <c r="BG4" s="23">
        <v>0</v>
      </c>
      <c r="BH4" s="23">
        <v>0</v>
      </c>
      <c r="BI4" s="23">
        <v>0</v>
      </c>
      <c r="BJ4" s="23">
        <v>0</v>
      </c>
      <c r="BK4" s="23">
        <v>0</v>
      </c>
      <c r="BL4" s="23">
        <v>0</v>
      </c>
    </row>
    <row r="5" spans="1:64" ht="14.25" customHeight="1" x14ac:dyDescent="0.55000000000000004">
      <c r="A5" s="23">
        <v>2</v>
      </c>
      <c r="B5" s="23">
        <v>1233</v>
      </c>
      <c r="C5" s="23">
        <f t="shared" ref="C5:D5" si="1">SUM(F5,I5,L5,O5,R5,U5,X5,AA5,AD5,AG5,AJ5,AM5,AP5,AS5,AV5,AY5,BB5,BE5,BH5,BK5)</f>
        <v>569</v>
      </c>
      <c r="D5" s="23">
        <f t="shared" si="1"/>
        <v>664</v>
      </c>
      <c r="E5" s="23">
        <v>95</v>
      </c>
      <c r="F5" s="23">
        <v>50</v>
      </c>
      <c r="G5" s="23">
        <v>45</v>
      </c>
      <c r="H5" s="23">
        <v>103</v>
      </c>
      <c r="I5" s="23">
        <v>45</v>
      </c>
      <c r="J5" s="23">
        <v>58</v>
      </c>
      <c r="K5" s="23">
        <v>94</v>
      </c>
      <c r="L5" s="23">
        <v>38</v>
      </c>
      <c r="M5" s="23">
        <v>56</v>
      </c>
      <c r="N5" s="23">
        <v>98</v>
      </c>
      <c r="O5" s="23">
        <v>39</v>
      </c>
      <c r="P5" s="23">
        <v>59</v>
      </c>
      <c r="Q5" s="23">
        <v>93</v>
      </c>
      <c r="R5" s="23">
        <v>40</v>
      </c>
      <c r="S5" s="23">
        <v>53</v>
      </c>
      <c r="T5" s="23">
        <v>113</v>
      </c>
      <c r="U5" s="23">
        <v>52</v>
      </c>
      <c r="V5" s="23">
        <v>61</v>
      </c>
      <c r="W5" s="23">
        <v>119</v>
      </c>
      <c r="X5" s="23">
        <v>58</v>
      </c>
      <c r="Y5" s="23">
        <v>61</v>
      </c>
      <c r="Z5" s="23">
        <v>103</v>
      </c>
      <c r="AA5" s="23">
        <v>46</v>
      </c>
      <c r="AB5" s="23">
        <v>57</v>
      </c>
      <c r="AC5" s="23">
        <v>69</v>
      </c>
      <c r="AD5" s="23">
        <v>35</v>
      </c>
      <c r="AE5" s="23">
        <v>34</v>
      </c>
      <c r="AF5" s="23">
        <v>56</v>
      </c>
      <c r="AG5" s="23">
        <v>23</v>
      </c>
      <c r="AH5" s="23">
        <v>33</v>
      </c>
      <c r="AI5" s="23">
        <v>51</v>
      </c>
      <c r="AJ5" s="23">
        <v>21</v>
      </c>
      <c r="AK5" s="23">
        <v>30</v>
      </c>
      <c r="AL5" s="23">
        <v>68</v>
      </c>
      <c r="AM5" s="23">
        <v>34</v>
      </c>
      <c r="AN5" s="23">
        <v>34</v>
      </c>
      <c r="AO5" s="23">
        <v>46</v>
      </c>
      <c r="AP5" s="23">
        <v>23</v>
      </c>
      <c r="AQ5" s="23">
        <v>23</v>
      </c>
      <c r="AR5" s="23">
        <v>42</v>
      </c>
      <c r="AS5" s="23">
        <v>25</v>
      </c>
      <c r="AT5" s="23">
        <v>17</v>
      </c>
      <c r="AU5" s="23">
        <v>33</v>
      </c>
      <c r="AV5" s="23">
        <v>18</v>
      </c>
      <c r="AW5" s="23">
        <v>15</v>
      </c>
      <c r="AX5" s="23">
        <v>25</v>
      </c>
      <c r="AY5" s="23">
        <v>12</v>
      </c>
      <c r="AZ5" s="23">
        <v>13</v>
      </c>
      <c r="BA5" s="23">
        <v>14</v>
      </c>
      <c r="BB5" s="23">
        <v>6</v>
      </c>
      <c r="BC5" s="23">
        <v>8</v>
      </c>
      <c r="BD5" s="23">
        <v>7</v>
      </c>
      <c r="BE5" s="23">
        <v>4</v>
      </c>
      <c r="BF5" s="23">
        <v>3</v>
      </c>
      <c r="BG5" s="23">
        <v>4</v>
      </c>
      <c r="BH5" s="23">
        <v>0</v>
      </c>
      <c r="BI5" s="23">
        <v>4</v>
      </c>
      <c r="BJ5" s="23">
        <v>0</v>
      </c>
      <c r="BK5" s="23">
        <v>0</v>
      </c>
      <c r="BL5" s="23">
        <v>0</v>
      </c>
    </row>
    <row r="6" spans="1:64" ht="14.25" customHeight="1" x14ac:dyDescent="0.55000000000000004">
      <c r="A6" s="23">
        <v>3</v>
      </c>
      <c r="B6" s="23">
        <v>1080</v>
      </c>
      <c r="C6" s="23">
        <f t="shared" ref="C6:D6" si="2">SUM(F6,I6,L6,O6,R6,U6,X6,AA6,AD6,AG6,AJ6,AM6,AP6,AS6,AV6,AY6,BB6,BE6,BH6,BK6)</f>
        <v>525</v>
      </c>
      <c r="D6" s="23">
        <f t="shared" si="2"/>
        <v>555</v>
      </c>
      <c r="E6" s="23">
        <v>84</v>
      </c>
      <c r="F6" s="23">
        <v>44</v>
      </c>
      <c r="G6" s="23">
        <v>40</v>
      </c>
      <c r="H6" s="23">
        <v>67</v>
      </c>
      <c r="I6" s="23">
        <v>37</v>
      </c>
      <c r="J6" s="23">
        <v>30</v>
      </c>
      <c r="K6" s="23">
        <v>84</v>
      </c>
      <c r="L6" s="23">
        <v>44</v>
      </c>
      <c r="M6" s="23">
        <v>40</v>
      </c>
      <c r="N6" s="23">
        <v>84</v>
      </c>
      <c r="O6" s="23">
        <v>40</v>
      </c>
      <c r="P6" s="23">
        <v>44</v>
      </c>
      <c r="Q6" s="23">
        <v>90</v>
      </c>
      <c r="R6" s="23">
        <v>42</v>
      </c>
      <c r="S6" s="23">
        <v>48</v>
      </c>
      <c r="T6" s="23">
        <v>87</v>
      </c>
      <c r="U6" s="23">
        <v>39</v>
      </c>
      <c r="V6" s="23">
        <v>48</v>
      </c>
      <c r="W6" s="23">
        <v>98</v>
      </c>
      <c r="X6" s="23">
        <v>35</v>
      </c>
      <c r="Y6" s="23">
        <v>63</v>
      </c>
      <c r="Z6" s="23">
        <v>79</v>
      </c>
      <c r="AA6" s="23">
        <v>36</v>
      </c>
      <c r="AB6" s="23">
        <v>43</v>
      </c>
      <c r="AC6" s="23">
        <v>71</v>
      </c>
      <c r="AD6" s="23">
        <v>33</v>
      </c>
      <c r="AE6" s="23">
        <v>38</v>
      </c>
      <c r="AF6" s="23">
        <v>62</v>
      </c>
      <c r="AG6" s="23">
        <v>30</v>
      </c>
      <c r="AH6" s="23">
        <v>32</v>
      </c>
      <c r="AI6" s="23">
        <v>54</v>
      </c>
      <c r="AJ6" s="23">
        <v>30</v>
      </c>
      <c r="AK6" s="23">
        <v>24</v>
      </c>
      <c r="AL6" s="23">
        <v>53</v>
      </c>
      <c r="AM6" s="23">
        <v>25</v>
      </c>
      <c r="AN6" s="23">
        <v>28</v>
      </c>
      <c r="AO6" s="23">
        <v>44</v>
      </c>
      <c r="AP6" s="23">
        <v>25</v>
      </c>
      <c r="AQ6" s="23">
        <v>19</v>
      </c>
      <c r="AR6" s="23">
        <v>43</v>
      </c>
      <c r="AS6" s="23">
        <v>23</v>
      </c>
      <c r="AT6" s="23">
        <v>20</v>
      </c>
      <c r="AU6" s="23">
        <v>29</v>
      </c>
      <c r="AV6" s="23">
        <v>15</v>
      </c>
      <c r="AW6" s="23">
        <v>14</v>
      </c>
      <c r="AX6" s="23">
        <v>20</v>
      </c>
      <c r="AY6" s="23">
        <v>11</v>
      </c>
      <c r="AZ6" s="23">
        <v>9</v>
      </c>
      <c r="BA6" s="23">
        <v>23</v>
      </c>
      <c r="BB6" s="23">
        <v>13</v>
      </c>
      <c r="BC6" s="23">
        <v>10</v>
      </c>
      <c r="BD6" s="23">
        <v>8</v>
      </c>
      <c r="BE6" s="23">
        <v>3</v>
      </c>
      <c r="BF6" s="23">
        <v>5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</row>
    <row r="7" spans="1:64" ht="14.25" customHeight="1" x14ac:dyDescent="0.55000000000000004">
      <c r="A7" s="23">
        <v>4</v>
      </c>
      <c r="B7" s="23">
        <v>1986</v>
      </c>
      <c r="C7" s="23">
        <f t="shared" ref="C7:D7" si="3">SUM(F7,I7,L7,O7,R7,U7,X7,AA7,AD7,AG7,AJ7,AM7,AP7,AS7,AV7,AY7,BB7,BE7,BH7,BK7)</f>
        <v>947</v>
      </c>
      <c r="D7" s="23">
        <f t="shared" si="3"/>
        <v>1039</v>
      </c>
      <c r="E7" s="23">
        <v>154</v>
      </c>
      <c r="F7" s="23">
        <v>80</v>
      </c>
      <c r="G7" s="23">
        <v>74</v>
      </c>
      <c r="H7" s="23">
        <v>154</v>
      </c>
      <c r="I7" s="23">
        <v>76</v>
      </c>
      <c r="J7" s="23">
        <v>78</v>
      </c>
      <c r="K7" s="23">
        <v>142</v>
      </c>
      <c r="L7" s="23">
        <v>75</v>
      </c>
      <c r="M7" s="23">
        <v>67</v>
      </c>
      <c r="N7" s="23">
        <v>131</v>
      </c>
      <c r="O7" s="23">
        <v>68</v>
      </c>
      <c r="P7" s="23">
        <v>63</v>
      </c>
      <c r="Q7" s="23">
        <v>143</v>
      </c>
      <c r="R7" s="23">
        <v>65</v>
      </c>
      <c r="S7" s="23">
        <v>78</v>
      </c>
      <c r="T7" s="23">
        <v>178</v>
      </c>
      <c r="U7" s="23">
        <v>79</v>
      </c>
      <c r="V7" s="23">
        <v>99</v>
      </c>
      <c r="W7" s="23">
        <v>189</v>
      </c>
      <c r="X7" s="23">
        <v>80</v>
      </c>
      <c r="Y7" s="23">
        <v>109</v>
      </c>
      <c r="Z7" s="23">
        <v>151</v>
      </c>
      <c r="AA7" s="23">
        <v>67</v>
      </c>
      <c r="AB7" s="23">
        <v>84</v>
      </c>
      <c r="AC7" s="23">
        <v>131</v>
      </c>
      <c r="AD7" s="23">
        <v>64</v>
      </c>
      <c r="AE7" s="23">
        <v>67</v>
      </c>
      <c r="AF7" s="23">
        <v>109</v>
      </c>
      <c r="AG7" s="23">
        <v>50</v>
      </c>
      <c r="AH7" s="23">
        <v>59</v>
      </c>
      <c r="AI7" s="23">
        <v>101</v>
      </c>
      <c r="AJ7" s="23">
        <v>52</v>
      </c>
      <c r="AK7" s="23">
        <v>49</v>
      </c>
      <c r="AL7" s="23">
        <v>90</v>
      </c>
      <c r="AM7" s="23">
        <v>47</v>
      </c>
      <c r="AN7" s="23">
        <v>43</v>
      </c>
      <c r="AO7" s="23">
        <v>99</v>
      </c>
      <c r="AP7" s="23">
        <v>51</v>
      </c>
      <c r="AQ7" s="23">
        <v>48</v>
      </c>
      <c r="AR7" s="23">
        <v>88</v>
      </c>
      <c r="AS7" s="23">
        <v>40</v>
      </c>
      <c r="AT7" s="23">
        <v>48</v>
      </c>
      <c r="AU7" s="23">
        <v>59</v>
      </c>
      <c r="AV7" s="23">
        <v>25</v>
      </c>
      <c r="AW7" s="23">
        <v>34</v>
      </c>
      <c r="AX7" s="23">
        <v>32</v>
      </c>
      <c r="AY7" s="23">
        <v>16</v>
      </c>
      <c r="AZ7" s="23">
        <v>16</v>
      </c>
      <c r="BA7" s="23">
        <v>23</v>
      </c>
      <c r="BB7" s="23">
        <v>9</v>
      </c>
      <c r="BC7" s="23">
        <v>14</v>
      </c>
      <c r="BD7" s="23">
        <v>11</v>
      </c>
      <c r="BE7" s="23">
        <v>3</v>
      </c>
      <c r="BF7" s="23">
        <v>8</v>
      </c>
      <c r="BG7" s="23">
        <v>1</v>
      </c>
      <c r="BH7" s="23">
        <v>0</v>
      </c>
      <c r="BI7" s="23">
        <v>1</v>
      </c>
      <c r="BJ7" s="23">
        <v>0</v>
      </c>
      <c r="BK7" s="23">
        <v>0</v>
      </c>
      <c r="BL7" s="23">
        <v>0</v>
      </c>
    </row>
    <row r="8" spans="1:64" ht="14.25" customHeight="1" x14ac:dyDescent="0.55000000000000004">
      <c r="A8" s="23">
        <v>5</v>
      </c>
      <c r="B8" s="23">
        <v>2836</v>
      </c>
      <c r="C8" s="23">
        <f t="shared" ref="C8:D8" si="4">SUM(F8,I8,L8,O8,R8,U8,X8,AA8,AD8,AG8,AJ8,AM8,AP8,AS8,AV8,AY8,BB8,BE8,BH8,BK8)</f>
        <v>1345</v>
      </c>
      <c r="D8" s="23">
        <f t="shared" si="4"/>
        <v>1491</v>
      </c>
      <c r="E8" s="23">
        <v>222</v>
      </c>
      <c r="F8" s="23">
        <v>117</v>
      </c>
      <c r="G8" s="23">
        <v>105</v>
      </c>
      <c r="H8" s="23">
        <v>189</v>
      </c>
      <c r="I8" s="23">
        <v>99</v>
      </c>
      <c r="J8" s="23">
        <v>90</v>
      </c>
      <c r="K8" s="23">
        <v>225</v>
      </c>
      <c r="L8" s="23">
        <v>116</v>
      </c>
      <c r="M8" s="23">
        <v>109</v>
      </c>
      <c r="N8" s="23">
        <v>203</v>
      </c>
      <c r="O8" s="23">
        <v>105</v>
      </c>
      <c r="P8" s="23">
        <v>98</v>
      </c>
      <c r="Q8" s="23">
        <v>225</v>
      </c>
      <c r="R8" s="23">
        <v>97</v>
      </c>
      <c r="S8" s="23">
        <v>128</v>
      </c>
      <c r="T8" s="23">
        <v>229</v>
      </c>
      <c r="U8" s="23">
        <v>93</v>
      </c>
      <c r="V8" s="23">
        <v>136</v>
      </c>
      <c r="W8" s="23">
        <v>226</v>
      </c>
      <c r="X8" s="23">
        <v>94</v>
      </c>
      <c r="Y8" s="23">
        <v>132</v>
      </c>
      <c r="Z8" s="23">
        <v>260</v>
      </c>
      <c r="AA8" s="23">
        <v>123</v>
      </c>
      <c r="AB8" s="23">
        <v>137</v>
      </c>
      <c r="AC8" s="23">
        <v>204</v>
      </c>
      <c r="AD8" s="23">
        <v>94</v>
      </c>
      <c r="AE8" s="23">
        <v>110</v>
      </c>
      <c r="AF8" s="23">
        <v>168</v>
      </c>
      <c r="AG8" s="23">
        <v>69</v>
      </c>
      <c r="AH8" s="23">
        <v>99</v>
      </c>
      <c r="AI8" s="23">
        <v>153</v>
      </c>
      <c r="AJ8" s="23">
        <v>79</v>
      </c>
      <c r="AK8" s="23">
        <v>74</v>
      </c>
      <c r="AL8" s="23">
        <v>147</v>
      </c>
      <c r="AM8" s="23">
        <v>67</v>
      </c>
      <c r="AN8" s="23">
        <v>80</v>
      </c>
      <c r="AO8" s="23">
        <v>123</v>
      </c>
      <c r="AP8" s="23">
        <v>65</v>
      </c>
      <c r="AQ8" s="23">
        <v>58</v>
      </c>
      <c r="AR8" s="23">
        <v>92</v>
      </c>
      <c r="AS8" s="23">
        <v>52</v>
      </c>
      <c r="AT8" s="23">
        <v>40</v>
      </c>
      <c r="AU8" s="23">
        <v>72</v>
      </c>
      <c r="AV8" s="23">
        <v>32</v>
      </c>
      <c r="AW8" s="23">
        <v>40</v>
      </c>
      <c r="AX8" s="23">
        <v>49</v>
      </c>
      <c r="AY8" s="23">
        <v>21</v>
      </c>
      <c r="AZ8" s="23">
        <v>28</v>
      </c>
      <c r="BA8" s="23">
        <v>30</v>
      </c>
      <c r="BB8" s="23">
        <v>12</v>
      </c>
      <c r="BC8" s="23">
        <v>18</v>
      </c>
      <c r="BD8" s="23">
        <v>13</v>
      </c>
      <c r="BE8" s="23">
        <v>7</v>
      </c>
      <c r="BF8" s="23">
        <v>6</v>
      </c>
      <c r="BG8" s="23">
        <v>6</v>
      </c>
      <c r="BH8" s="23">
        <v>3</v>
      </c>
      <c r="BI8" s="23">
        <v>3</v>
      </c>
      <c r="BJ8" s="23">
        <v>0</v>
      </c>
      <c r="BK8" s="23">
        <v>0</v>
      </c>
      <c r="BL8" s="23">
        <v>0</v>
      </c>
    </row>
    <row r="9" spans="1:64" ht="14.25" customHeight="1" x14ac:dyDescent="0.55000000000000004"/>
    <row r="10" spans="1:64" ht="14.25" customHeight="1" x14ac:dyDescent="0.55000000000000004">
      <c r="A10" s="42" t="s">
        <v>113</v>
      </c>
      <c r="B10" s="42">
        <f t="shared" ref="B10:D10" si="5">SUM(B4:B8)</f>
        <v>8300</v>
      </c>
      <c r="C10" s="42">
        <f t="shared" si="5"/>
        <v>3941</v>
      </c>
      <c r="D10" s="42">
        <f t="shared" si="5"/>
        <v>4359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</row>
    <row r="11" spans="1:64" ht="14.25" customHeight="1" x14ac:dyDescent="0.55000000000000004"/>
    <row r="12" spans="1:64" ht="14.25" customHeight="1" x14ac:dyDescent="0.55000000000000004"/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6.26171875" customWidth="1"/>
    <col min="2" max="4" width="10" customWidth="1"/>
    <col min="5" max="5" width="11.68359375" customWidth="1"/>
    <col min="6" max="64" width="10" customWidth="1"/>
  </cols>
  <sheetData>
    <row r="1" spans="1:64" ht="14.25" customHeight="1" x14ac:dyDescent="0.6">
      <c r="A1" s="56" t="s">
        <v>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10" t="s">
        <v>12</v>
      </c>
      <c r="C2" s="6"/>
      <c r="D2" s="6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/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3">
        <v>1</v>
      </c>
      <c r="B4" s="23">
        <v>822</v>
      </c>
      <c r="C4" s="23">
        <f t="shared" ref="C4:D4" si="0">SUM(F4,I4,L4,O4,R4,U4,X4,AA4,AD4,AG4,AJ4,AM4,AP4,AS4,AV4,AY4,BB4,BE4,BH4,BK4)</f>
        <v>422</v>
      </c>
      <c r="D4" s="23">
        <f t="shared" si="0"/>
        <v>400</v>
      </c>
      <c r="E4" s="23">
        <v>49</v>
      </c>
      <c r="F4" s="23">
        <v>25</v>
      </c>
      <c r="G4" s="23">
        <v>24</v>
      </c>
      <c r="H4" s="23">
        <v>83</v>
      </c>
      <c r="I4" s="23">
        <v>39</v>
      </c>
      <c r="J4" s="23">
        <v>44</v>
      </c>
      <c r="K4" s="23">
        <v>53</v>
      </c>
      <c r="L4" s="23">
        <v>28</v>
      </c>
      <c r="M4" s="23">
        <v>25</v>
      </c>
      <c r="N4" s="23">
        <v>31</v>
      </c>
      <c r="O4" s="23">
        <v>20</v>
      </c>
      <c r="P4" s="23">
        <v>11</v>
      </c>
      <c r="Q4" s="23">
        <v>52</v>
      </c>
      <c r="R4" s="23">
        <v>28</v>
      </c>
      <c r="S4" s="23">
        <v>24</v>
      </c>
      <c r="T4" s="23">
        <v>73</v>
      </c>
      <c r="U4" s="23">
        <v>41</v>
      </c>
      <c r="V4" s="23">
        <v>32</v>
      </c>
      <c r="W4" s="23">
        <v>62</v>
      </c>
      <c r="X4" s="23">
        <v>30</v>
      </c>
      <c r="Y4" s="23">
        <v>32</v>
      </c>
      <c r="Z4" s="23">
        <v>59</v>
      </c>
      <c r="AA4" s="23">
        <v>29</v>
      </c>
      <c r="AB4" s="23">
        <v>30</v>
      </c>
      <c r="AC4" s="23">
        <v>48</v>
      </c>
      <c r="AD4" s="23">
        <v>25</v>
      </c>
      <c r="AE4" s="23">
        <v>23</v>
      </c>
      <c r="AF4" s="23">
        <v>58</v>
      </c>
      <c r="AG4" s="23">
        <v>25</v>
      </c>
      <c r="AH4" s="23">
        <v>33</v>
      </c>
      <c r="AI4" s="23">
        <v>51</v>
      </c>
      <c r="AJ4" s="23">
        <v>29</v>
      </c>
      <c r="AK4" s="23">
        <v>22</v>
      </c>
      <c r="AL4" s="23">
        <v>56</v>
      </c>
      <c r="AM4" s="23">
        <v>27</v>
      </c>
      <c r="AN4" s="23">
        <v>29</v>
      </c>
      <c r="AO4" s="23">
        <v>39</v>
      </c>
      <c r="AP4" s="23">
        <v>19</v>
      </c>
      <c r="AQ4" s="23">
        <v>20</v>
      </c>
      <c r="AR4" s="23">
        <v>31</v>
      </c>
      <c r="AS4" s="23">
        <v>15</v>
      </c>
      <c r="AT4" s="23">
        <v>16</v>
      </c>
      <c r="AU4" s="23">
        <v>29</v>
      </c>
      <c r="AV4" s="23">
        <v>18</v>
      </c>
      <c r="AW4" s="23">
        <v>11</v>
      </c>
      <c r="AX4" s="23">
        <v>31</v>
      </c>
      <c r="AY4" s="23">
        <v>16</v>
      </c>
      <c r="AZ4" s="23">
        <v>15</v>
      </c>
      <c r="BA4" s="23">
        <v>15</v>
      </c>
      <c r="BB4" s="23">
        <v>8</v>
      </c>
      <c r="BC4" s="23">
        <v>7</v>
      </c>
      <c r="BD4" s="23">
        <v>2</v>
      </c>
      <c r="BE4" s="23">
        <v>0</v>
      </c>
      <c r="BF4" s="23">
        <v>2</v>
      </c>
      <c r="BG4" s="23">
        <v>0</v>
      </c>
      <c r="BH4" s="23">
        <v>0</v>
      </c>
      <c r="BI4" s="23">
        <v>0</v>
      </c>
      <c r="BJ4" s="23">
        <v>0</v>
      </c>
      <c r="BK4" s="23">
        <v>0</v>
      </c>
      <c r="BL4" s="23">
        <v>0</v>
      </c>
    </row>
    <row r="5" spans="1:64" ht="14.25" customHeight="1" x14ac:dyDescent="0.55000000000000004">
      <c r="A5" s="23">
        <v>2</v>
      </c>
      <c r="B5" s="23">
        <v>558</v>
      </c>
      <c r="C5" s="23">
        <f t="shared" ref="C5:D5" si="1">SUM(F5,I5,L5,O5,R5,U5,X5,AA5,AD5,AG5,AJ5,AM5,AP5,AS5,AV5,AY5,BB5,BE5,BH5,BK5)</f>
        <v>296</v>
      </c>
      <c r="D5" s="23">
        <f t="shared" si="1"/>
        <v>262</v>
      </c>
      <c r="E5" s="23">
        <v>38</v>
      </c>
      <c r="F5" s="23">
        <v>20</v>
      </c>
      <c r="G5" s="23">
        <v>18</v>
      </c>
      <c r="H5" s="23">
        <v>40</v>
      </c>
      <c r="I5" s="23">
        <v>21</v>
      </c>
      <c r="J5" s="23">
        <v>19</v>
      </c>
      <c r="K5" s="23">
        <v>23</v>
      </c>
      <c r="L5" s="23">
        <v>12</v>
      </c>
      <c r="M5" s="23">
        <v>11</v>
      </c>
      <c r="N5" s="23">
        <v>14</v>
      </c>
      <c r="O5" s="23">
        <v>6</v>
      </c>
      <c r="P5" s="23">
        <v>8</v>
      </c>
      <c r="Q5" s="23">
        <v>28</v>
      </c>
      <c r="R5" s="23">
        <v>17</v>
      </c>
      <c r="S5" s="23">
        <v>11</v>
      </c>
      <c r="T5" s="23">
        <v>49</v>
      </c>
      <c r="U5" s="23">
        <v>26</v>
      </c>
      <c r="V5" s="23">
        <v>23</v>
      </c>
      <c r="W5" s="23">
        <v>64</v>
      </c>
      <c r="X5" s="23">
        <v>34</v>
      </c>
      <c r="Y5" s="23">
        <v>30</v>
      </c>
      <c r="Z5" s="23">
        <v>66</v>
      </c>
      <c r="AA5" s="23">
        <v>34</v>
      </c>
      <c r="AB5" s="23">
        <v>32</v>
      </c>
      <c r="AC5" s="23">
        <v>49</v>
      </c>
      <c r="AD5" s="23">
        <v>27</v>
      </c>
      <c r="AE5" s="23">
        <v>22</v>
      </c>
      <c r="AF5" s="23">
        <v>52</v>
      </c>
      <c r="AG5" s="23">
        <v>28</v>
      </c>
      <c r="AH5" s="23">
        <v>24</v>
      </c>
      <c r="AI5" s="23">
        <v>32</v>
      </c>
      <c r="AJ5" s="23">
        <v>21</v>
      </c>
      <c r="AK5" s="23">
        <v>11</v>
      </c>
      <c r="AL5" s="23">
        <v>35</v>
      </c>
      <c r="AM5" s="23">
        <v>17</v>
      </c>
      <c r="AN5" s="23">
        <v>18</v>
      </c>
      <c r="AO5" s="23">
        <v>30</v>
      </c>
      <c r="AP5" s="23">
        <v>16</v>
      </c>
      <c r="AQ5" s="23">
        <v>14</v>
      </c>
      <c r="AR5" s="23">
        <v>24</v>
      </c>
      <c r="AS5" s="23">
        <v>14</v>
      </c>
      <c r="AT5" s="23">
        <v>10</v>
      </c>
      <c r="AU5" s="23">
        <v>9</v>
      </c>
      <c r="AV5" s="23">
        <v>3</v>
      </c>
      <c r="AW5" s="23">
        <v>6</v>
      </c>
      <c r="AX5" s="23">
        <v>5</v>
      </c>
      <c r="AY5" s="23">
        <v>0</v>
      </c>
      <c r="AZ5" s="23">
        <v>5</v>
      </c>
      <c r="BA5" s="23">
        <v>0</v>
      </c>
      <c r="BB5" s="23">
        <v>0</v>
      </c>
      <c r="BC5" s="23">
        <v>0</v>
      </c>
      <c r="BD5" s="23">
        <v>0</v>
      </c>
      <c r="BE5" s="23">
        <v>0</v>
      </c>
      <c r="BF5" s="23">
        <v>0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</row>
    <row r="6" spans="1:64" ht="14.25" customHeight="1" x14ac:dyDescent="0.55000000000000004">
      <c r="A6" s="23">
        <v>3</v>
      </c>
      <c r="B6" s="23">
        <v>495</v>
      </c>
      <c r="C6" s="23">
        <f t="shared" ref="C6:D6" si="2">SUM(F6,I6,L6,O6,R6,U6,X6,AA6,AD6,AG6,AJ6,AM6,AP6,AS6,AV6,AY6,BB6,BE6,BH6,BK6)</f>
        <v>251</v>
      </c>
      <c r="D6" s="23">
        <f t="shared" si="2"/>
        <v>244</v>
      </c>
      <c r="E6" s="23">
        <v>27</v>
      </c>
      <c r="F6" s="23">
        <v>15</v>
      </c>
      <c r="G6" s="23">
        <v>12</v>
      </c>
      <c r="H6" s="23">
        <v>30</v>
      </c>
      <c r="I6" s="23">
        <v>19</v>
      </c>
      <c r="J6" s="23">
        <v>11</v>
      </c>
      <c r="K6" s="23">
        <v>25</v>
      </c>
      <c r="L6" s="23">
        <v>12</v>
      </c>
      <c r="M6" s="23">
        <v>13</v>
      </c>
      <c r="N6" s="23">
        <v>20</v>
      </c>
      <c r="O6" s="23">
        <v>12</v>
      </c>
      <c r="P6" s="23">
        <v>8</v>
      </c>
      <c r="Q6" s="23">
        <v>23</v>
      </c>
      <c r="R6" s="23">
        <v>13</v>
      </c>
      <c r="S6" s="23">
        <v>10</v>
      </c>
      <c r="T6" s="23">
        <v>33</v>
      </c>
      <c r="U6" s="23">
        <v>22</v>
      </c>
      <c r="V6" s="23">
        <v>11</v>
      </c>
      <c r="W6" s="23">
        <v>46</v>
      </c>
      <c r="X6" s="23">
        <v>24</v>
      </c>
      <c r="Y6" s="23">
        <v>22</v>
      </c>
      <c r="Z6" s="23">
        <v>38</v>
      </c>
      <c r="AA6" s="23">
        <v>16</v>
      </c>
      <c r="AB6" s="23">
        <v>22</v>
      </c>
      <c r="AC6" s="23">
        <v>26</v>
      </c>
      <c r="AD6" s="23">
        <v>15</v>
      </c>
      <c r="AE6" s="23">
        <v>11</v>
      </c>
      <c r="AF6" s="23">
        <v>43</v>
      </c>
      <c r="AG6" s="23">
        <v>19</v>
      </c>
      <c r="AH6" s="23">
        <v>24</v>
      </c>
      <c r="AI6" s="23">
        <v>40</v>
      </c>
      <c r="AJ6" s="23">
        <v>17</v>
      </c>
      <c r="AK6" s="23">
        <v>23</v>
      </c>
      <c r="AL6" s="23">
        <v>35</v>
      </c>
      <c r="AM6" s="23">
        <v>16</v>
      </c>
      <c r="AN6" s="23">
        <v>19</v>
      </c>
      <c r="AO6" s="23">
        <v>25</v>
      </c>
      <c r="AP6" s="23">
        <v>10</v>
      </c>
      <c r="AQ6" s="23">
        <v>15</v>
      </c>
      <c r="AR6" s="23">
        <v>31</v>
      </c>
      <c r="AS6" s="23">
        <v>17</v>
      </c>
      <c r="AT6" s="23">
        <v>14</v>
      </c>
      <c r="AU6" s="23">
        <v>22</v>
      </c>
      <c r="AV6" s="23">
        <v>12</v>
      </c>
      <c r="AW6" s="23">
        <v>10</v>
      </c>
      <c r="AX6" s="23">
        <v>21</v>
      </c>
      <c r="AY6" s="23">
        <v>8</v>
      </c>
      <c r="AZ6" s="23">
        <v>13</v>
      </c>
      <c r="BA6" s="23">
        <v>7</v>
      </c>
      <c r="BB6" s="23">
        <v>2</v>
      </c>
      <c r="BC6" s="23">
        <v>5</v>
      </c>
      <c r="BD6" s="23">
        <v>3</v>
      </c>
      <c r="BE6" s="23">
        <v>2</v>
      </c>
      <c r="BF6" s="23">
        <v>1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</row>
    <row r="7" spans="1:64" ht="14.25" customHeight="1" x14ac:dyDescent="0.55000000000000004">
      <c r="A7" s="21">
        <v>4</v>
      </c>
      <c r="B7" s="21">
        <v>431</v>
      </c>
      <c r="C7" s="23">
        <f t="shared" ref="C7:D7" si="3">SUM(F7,I7,L7,O7,R7,U7,X7,AA7,AD7,AG7,AJ7,AM7,AP7,AS7,AV7,AY7,BB7,BE7,BH7,BK7)</f>
        <v>228</v>
      </c>
      <c r="D7" s="23">
        <f t="shared" si="3"/>
        <v>203</v>
      </c>
      <c r="E7" s="21">
        <v>33</v>
      </c>
      <c r="F7" s="21">
        <v>18</v>
      </c>
      <c r="G7" s="21">
        <v>15</v>
      </c>
      <c r="H7" s="21">
        <v>11</v>
      </c>
      <c r="I7" s="21">
        <v>3</v>
      </c>
      <c r="J7" s="21">
        <v>8</v>
      </c>
      <c r="K7" s="21">
        <v>11</v>
      </c>
      <c r="L7" s="21">
        <v>5</v>
      </c>
      <c r="M7" s="21">
        <v>6</v>
      </c>
      <c r="N7" s="21">
        <v>28</v>
      </c>
      <c r="O7" s="21">
        <v>14</v>
      </c>
      <c r="P7" s="21">
        <v>14</v>
      </c>
      <c r="Q7" s="21">
        <v>70</v>
      </c>
      <c r="R7" s="21">
        <v>39</v>
      </c>
      <c r="S7" s="21">
        <v>31</v>
      </c>
      <c r="T7" s="21">
        <v>55</v>
      </c>
      <c r="U7" s="21">
        <v>36</v>
      </c>
      <c r="V7" s="21">
        <v>19</v>
      </c>
      <c r="W7" s="21">
        <v>37</v>
      </c>
      <c r="X7" s="21">
        <v>22</v>
      </c>
      <c r="Y7" s="21">
        <v>15</v>
      </c>
      <c r="Z7" s="21">
        <v>21</v>
      </c>
      <c r="AA7" s="21">
        <v>11</v>
      </c>
      <c r="AB7" s="21">
        <v>10</v>
      </c>
      <c r="AC7" s="21">
        <v>29</v>
      </c>
      <c r="AD7" s="21">
        <v>10</v>
      </c>
      <c r="AE7" s="21">
        <v>19</v>
      </c>
      <c r="AF7" s="21">
        <v>38</v>
      </c>
      <c r="AG7" s="21">
        <v>20</v>
      </c>
      <c r="AH7" s="21">
        <v>18</v>
      </c>
      <c r="AI7" s="21">
        <v>32</v>
      </c>
      <c r="AJ7" s="21">
        <v>19</v>
      </c>
      <c r="AK7" s="21">
        <v>13</v>
      </c>
      <c r="AL7" s="21">
        <v>20</v>
      </c>
      <c r="AM7" s="21">
        <v>10</v>
      </c>
      <c r="AN7" s="21">
        <v>10</v>
      </c>
      <c r="AO7" s="21">
        <v>11</v>
      </c>
      <c r="AP7" s="21">
        <v>5</v>
      </c>
      <c r="AQ7" s="21">
        <v>6</v>
      </c>
      <c r="AR7" s="21">
        <v>14</v>
      </c>
      <c r="AS7" s="21">
        <v>5</v>
      </c>
      <c r="AT7" s="21">
        <v>9</v>
      </c>
      <c r="AU7" s="21">
        <v>9</v>
      </c>
      <c r="AV7" s="21">
        <v>5</v>
      </c>
      <c r="AW7" s="21">
        <v>4</v>
      </c>
      <c r="AX7" s="21">
        <v>9</v>
      </c>
      <c r="AY7" s="21">
        <v>5</v>
      </c>
      <c r="AZ7" s="21">
        <v>4</v>
      </c>
      <c r="BA7" s="21">
        <v>3</v>
      </c>
      <c r="BB7" s="21">
        <v>1</v>
      </c>
      <c r="BC7" s="21">
        <v>2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</row>
    <row r="8" spans="1:64" ht="14.25" customHeight="1" x14ac:dyDescent="0.55000000000000004">
      <c r="A8" s="23">
        <v>5</v>
      </c>
      <c r="B8" s="23">
        <v>2518</v>
      </c>
      <c r="C8" s="23">
        <f t="shared" ref="C8:D8" si="4">SUM(F8,I8,L8,O8,R8,U8,X8,AA8,AD8,AG8,AJ8,AM8,AP8,AS8,AV8,AY8,BB8,BE8,BH8,BK8)</f>
        <v>1326</v>
      </c>
      <c r="D8" s="23">
        <f t="shared" si="4"/>
        <v>1192</v>
      </c>
      <c r="E8" s="23">
        <v>168</v>
      </c>
      <c r="F8" s="23">
        <v>89</v>
      </c>
      <c r="G8" s="23">
        <v>79</v>
      </c>
      <c r="H8" s="23">
        <v>162</v>
      </c>
      <c r="I8" s="23">
        <v>80</v>
      </c>
      <c r="J8" s="23">
        <v>82</v>
      </c>
      <c r="K8" s="23">
        <v>156</v>
      </c>
      <c r="L8" s="23">
        <v>69</v>
      </c>
      <c r="M8" s="23">
        <v>87</v>
      </c>
      <c r="N8" s="23">
        <v>167</v>
      </c>
      <c r="O8" s="23">
        <v>99</v>
      </c>
      <c r="P8" s="23">
        <v>68</v>
      </c>
      <c r="Q8" s="23">
        <v>227</v>
      </c>
      <c r="R8" s="23">
        <v>143</v>
      </c>
      <c r="S8" s="23">
        <v>84</v>
      </c>
      <c r="T8" s="23">
        <v>254</v>
      </c>
      <c r="U8" s="23">
        <v>150</v>
      </c>
      <c r="V8" s="23">
        <v>104</v>
      </c>
      <c r="W8" s="23">
        <v>240</v>
      </c>
      <c r="X8" s="23">
        <v>128</v>
      </c>
      <c r="Y8" s="23">
        <v>112</v>
      </c>
      <c r="Z8" s="23">
        <v>219</v>
      </c>
      <c r="AA8" s="23">
        <v>105</v>
      </c>
      <c r="AB8" s="23">
        <v>114</v>
      </c>
      <c r="AC8" s="23">
        <v>177</v>
      </c>
      <c r="AD8" s="23">
        <v>88</v>
      </c>
      <c r="AE8" s="23">
        <v>89</v>
      </c>
      <c r="AF8" s="23">
        <v>154</v>
      </c>
      <c r="AG8" s="23">
        <v>76</v>
      </c>
      <c r="AH8" s="23">
        <v>78</v>
      </c>
      <c r="AI8" s="23">
        <v>140</v>
      </c>
      <c r="AJ8" s="23">
        <v>67</v>
      </c>
      <c r="AK8" s="23">
        <v>73</v>
      </c>
      <c r="AL8" s="23">
        <v>128</v>
      </c>
      <c r="AM8" s="23">
        <v>62</v>
      </c>
      <c r="AN8" s="23">
        <v>66</v>
      </c>
      <c r="AO8" s="23">
        <v>107</v>
      </c>
      <c r="AP8" s="23">
        <v>60</v>
      </c>
      <c r="AQ8" s="23">
        <v>47</v>
      </c>
      <c r="AR8" s="23">
        <v>78</v>
      </c>
      <c r="AS8" s="23">
        <v>42</v>
      </c>
      <c r="AT8" s="23">
        <v>36</v>
      </c>
      <c r="AU8" s="23">
        <v>59</v>
      </c>
      <c r="AV8" s="23">
        <v>27</v>
      </c>
      <c r="AW8" s="23">
        <v>32</v>
      </c>
      <c r="AX8" s="23">
        <v>41</v>
      </c>
      <c r="AY8" s="23">
        <v>21</v>
      </c>
      <c r="AZ8" s="23">
        <v>20</v>
      </c>
      <c r="BA8" s="23">
        <v>22</v>
      </c>
      <c r="BB8" s="23">
        <v>12</v>
      </c>
      <c r="BC8" s="23">
        <v>10</v>
      </c>
      <c r="BD8" s="23">
        <v>15</v>
      </c>
      <c r="BE8" s="23">
        <v>6</v>
      </c>
      <c r="BF8" s="23">
        <v>9</v>
      </c>
      <c r="BG8" s="23">
        <v>4</v>
      </c>
      <c r="BH8" s="23">
        <v>2</v>
      </c>
      <c r="BI8" s="23">
        <v>2</v>
      </c>
      <c r="BJ8" s="23">
        <v>0</v>
      </c>
      <c r="BK8" s="23">
        <v>0</v>
      </c>
      <c r="BL8" s="23">
        <v>0</v>
      </c>
    </row>
    <row r="9" spans="1:64" ht="14.25" customHeight="1" x14ac:dyDescent="0.55000000000000004">
      <c r="A9" s="21">
        <v>6</v>
      </c>
      <c r="B9" s="21">
        <v>3099</v>
      </c>
      <c r="C9" s="23">
        <f t="shared" ref="C9:D9" si="5">SUM(F9,I9,L9,O9,R9,U9,X9,AA9,AD9,AG9,AJ9,AM9,AP9,AS9,AV9,AY9,BB9,BE9,BH9,BK9)</f>
        <v>1602</v>
      </c>
      <c r="D9" s="23">
        <f t="shared" si="5"/>
        <v>1497</v>
      </c>
      <c r="E9" s="21">
        <v>220</v>
      </c>
      <c r="F9" s="21">
        <v>115</v>
      </c>
      <c r="G9" s="21">
        <v>105</v>
      </c>
      <c r="H9" s="21">
        <v>244</v>
      </c>
      <c r="I9" s="21">
        <v>122</v>
      </c>
      <c r="J9" s="21">
        <v>122</v>
      </c>
      <c r="K9" s="21">
        <v>248</v>
      </c>
      <c r="L9" s="21">
        <v>130</v>
      </c>
      <c r="M9" s="21">
        <v>118</v>
      </c>
      <c r="N9" s="21">
        <v>258</v>
      </c>
      <c r="O9" s="21">
        <v>127</v>
      </c>
      <c r="P9" s="21">
        <v>131</v>
      </c>
      <c r="Q9" s="21">
        <v>277</v>
      </c>
      <c r="R9" s="21">
        <v>163</v>
      </c>
      <c r="S9" s="21">
        <v>114</v>
      </c>
      <c r="T9" s="21">
        <v>283</v>
      </c>
      <c r="U9" s="21">
        <v>149</v>
      </c>
      <c r="V9" s="21">
        <v>134</v>
      </c>
      <c r="W9" s="21">
        <v>296</v>
      </c>
      <c r="X9" s="21">
        <v>149</v>
      </c>
      <c r="Y9" s="21">
        <v>147</v>
      </c>
      <c r="Z9" s="21">
        <v>267</v>
      </c>
      <c r="AA9" s="21">
        <v>117</v>
      </c>
      <c r="AB9" s="21">
        <v>150</v>
      </c>
      <c r="AC9" s="21">
        <v>244</v>
      </c>
      <c r="AD9" s="21">
        <v>124</v>
      </c>
      <c r="AE9" s="21">
        <v>120</v>
      </c>
      <c r="AF9" s="21">
        <v>191</v>
      </c>
      <c r="AG9" s="21">
        <v>98</v>
      </c>
      <c r="AH9" s="21">
        <v>93</v>
      </c>
      <c r="AI9" s="21">
        <v>154</v>
      </c>
      <c r="AJ9" s="21">
        <v>82</v>
      </c>
      <c r="AK9" s="21">
        <v>72</v>
      </c>
      <c r="AL9" s="21">
        <v>134</v>
      </c>
      <c r="AM9" s="21">
        <v>72</v>
      </c>
      <c r="AN9" s="21">
        <v>62</v>
      </c>
      <c r="AO9" s="21">
        <v>93</v>
      </c>
      <c r="AP9" s="21">
        <v>52</v>
      </c>
      <c r="AQ9" s="21">
        <v>41</v>
      </c>
      <c r="AR9" s="21">
        <v>73</v>
      </c>
      <c r="AS9" s="21">
        <v>37</v>
      </c>
      <c r="AT9" s="21">
        <v>36</v>
      </c>
      <c r="AU9" s="21">
        <v>61</v>
      </c>
      <c r="AV9" s="21">
        <v>35</v>
      </c>
      <c r="AW9" s="21">
        <v>26</v>
      </c>
      <c r="AX9" s="21">
        <v>34</v>
      </c>
      <c r="AY9" s="21">
        <v>19</v>
      </c>
      <c r="AZ9" s="21">
        <v>15</v>
      </c>
      <c r="BA9" s="21">
        <v>12</v>
      </c>
      <c r="BB9" s="21">
        <v>7</v>
      </c>
      <c r="BC9" s="21">
        <v>5</v>
      </c>
      <c r="BD9" s="21">
        <v>9</v>
      </c>
      <c r="BE9" s="21">
        <v>4</v>
      </c>
      <c r="BF9" s="21">
        <v>5</v>
      </c>
      <c r="BG9" s="21">
        <v>1</v>
      </c>
      <c r="BH9" s="21">
        <v>0</v>
      </c>
      <c r="BI9" s="21">
        <v>1</v>
      </c>
      <c r="BJ9" s="21">
        <v>0</v>
      </c>
      <c r="BK9" s="21">
        <v>0</v>
      </c>
      <c r="BL9" s="21">
        <v>0</v>
      </c>
    </row>
    <row r="10" spans="1:64" ht="14.25" customHeight="1" x14ac:dyDescent="0.55000000000000004"/>
    <row r="11" spans="1:64" ht="14.25" customHeight="1" x14ac:dyDescent="0.55000000000000004">
      <c r="A11" s="42" t="s">
        <v>114</v>
      </c>
      <c r="B11" s="42">
        <f t="shared" ref="B11:D11" si="6">SUM(B4,B5,B6,B8)</f>
        <v>4393</v>
      </c>
      <c r="C11" s="42">
        <f t="shared" si="6"/>
        <v>2295</v>
      </c>
      <c r="D11" s="42">
        <f t="shared" si="6"/>
        <v>2098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</row>
    <row r="12" spans="1:64" ht="14.25" customHeight="1" x14ac:dyDescent="0.55000000000000004"/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2">
    <mergeCell ref="AX2:AZ2"/>
    <mergeCell ref="BA2:BC2"/>
    <mergeCell ref="BD2:BF2"/>
    <mergeCell ref="BG2:BI2"/>
    <mergeCell ref="A1:BK1"/>
    <mergeCell ref="A2:A3"/>
    <mergeCell ref="E2:G2"/>
    <mergeCell ref="H2:J2"/>
    <mergeCell ref="K2:M2"/>
    <mergeCell ref="N2:P2"/>
    <mergeCell ref="Q2:S2"/>
    <mergeCell ref="BJ2:BL2"/>
    <mergeCell ref="AI2:AK2"/>
    <mergeCell ref="AL2:AN2"/>
    <mergeCell ref="AO2:AQ2"/>
    <mergeCell ref="AR2:AT2"/>
    <mergeCell ref="AU2:AW2"/>
    <mergeCell ref="T2:V2"/>
    <mergeCell ref="W2:Y2"/>
    <mergeCell ref="Z2:AB2"/>
    <mergeCell ref="AC2:AE2"/>
    <mergeCell ref="AF2:AH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1000"/>
  <sheetViews>
    <sheetView workbookViewId="0">
      <selection activeCell="D4" sqref="D4:D8"/>
    </sheetView>
  </sheetViews>
  <sheetFormatPr defaultColWidth="14.41796875" defaultRowHeight="15" customHeight="1" x14ac:dyDescent="0.55000000000000004"/>
  <cols>
    <col min="1" max="64" width="10" customWidth="1"/>
  </cols>
  <sheetData>
    <row r="1" spans="1:64" ht="14.25" customHeight="1" x14ac:dyDescent="0.6">
      <c r="A1" s="56" t="s">
        <v>115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6" t="s">
        <v>12</v>
      </c>
      <c r="D2" s="6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55"/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3">
        <v>1</v>
      </c>
      <c r="B4" s="23">
        <v>1455</v>
      </c>
      <c r="C4" s="23">
        <f t="shared" ref="C4:D8" si="0">SUM(F4,I4,L4,O4,R4,U4,X4,AA4,AD4,AG4,AJ4,AM4,AP4,AS4,AV4,AY4,BB4,BE4,BH4,BK4)</f>
        <v>734</v>
      </c>
      <c r="D4" s="23">
        <f t="shared" si="0"/>
        <v>721</v>
      </c>
      <c r="E4" s="23">
        <v>145</v>
      </c>
      <c r="F4" s="23">
        <v>75</v>
      </c>
      <c r="G4" s="23">
        <v>70</v>
      </c>
      <c r="H4" s="23">
        <v>136</v>
      </c>
      <c r="I4" s="23">
        <v>66</v>
      </c>
      <c r="J4" s="23">
        <v>70</v>
      </c>
      <c r="K4" s="23">
        <v>149</v>
      </c>
      <c r="L4" s="23">
        <v>74</v>
      </c>
      <c r="M4" s="23">
        <v>75</v>
      </c>
      <c r="N4" s="23">
        <v>136</v>
      </c>
      <c r="O4" s="23">
        <v>70</v>
      </c>
      <c r="P4" s="23">
        <v>66</v>
      </c>
      <c r="Q4" s="23">
        <v>135</v>
      </c>
      <c r="R4" s="23">
        <v>72</v>
      </c>
      <c r="S4" s="23">
        <v>63</v>
      </c>
      <c r="T4" s="23">
        <v>119</v>
      </c>
      <c r="U4" s="23">
        <v>61</v>
      </c>
      <c r="V4" s="23">
        <v>58</v>
      </c>
      <c r="W4" s="23">
        <v>109</v>
      </c>
      <c r="X4" s="23">
        <v>50</v>
      </c>
      <c r="Y4" s="23">
        <v>59</v>
      </c>
      <c r="Z4" s="23">
        <v>93</v>
      </c>
      <c r="AA4" s="23">
        <v>39</v>
      </c>
      <c r="AB4" s="23">
        <v>54</v>
      </c>
      <c r="AC4" s="23">
        <v>94</v>
      </c>
      <c r="AD4" s="23">
        <v>48</v>
      </c>
      <c r="AE4" s="23">
        <v>46</v>
      </c>
      <c r="AF4" s="23">
        <v>75</v>
      </c>
      <c r="AG4" s="23">
        <v>43</v>
      </c>
      <c r="AH4" s="23">
        <v>32</v>
      </c>
      <c r="AI4" s="23">
        <v>63</v>
      </c>
      <c r="AJ4" s="23">
        <v>31</v>
      </c>
      <c r="AK4" s="23">
        <v>32</v>
      </c>
      <c r="AL4" s="23">
        <v>52</v>
      </c>
      <c r="AM4" s="23">
        <v>25</v>
      </c>
      <c r="AN4" s="23">
        <v>27</v>
      </c>
      <c r="AO4" s="23">
        <v>45</v>
      </c>
      <c r="AP4" s="23">
        <v>26</v>
      </c>
      <c r="AQ4" s="23">
        <v>19</v>
      </c>
      <c r="AR4" s="23">
        <v>36</v>
      </c>
      <c r="AS4" s="23">
        <v>21</v>
      </c>
      <c r="AT4" s="23">
        <v>15</v>
      </c>
      <c r="AU4" s="23">
        <v>29</v>
      </c>
      <c r="AV4" s="23">
        <v>14</v>
      </c>
      <c r="AW4" s="23">
        <v>15</v>
      </c>
      <c r="AX4" s="23">
        <v>23</v>
      </c>
      <c r="AY4" s="23">
        <v>12</v>
      </c>
      <c r="AZ4" s="23">
        <v>11</v>
      </c>
      <c r="BA4" s="23">
        <v>13</v>
      </c>
      <c r="BB4" s="23">
        <v>5</v>
      </c>
      <c r="BC4" s="23">
        <v>8</v>
      </c>
      <c r="BD4" s="23">
        <v>3</v>
      </c>
      <c r="BE4" s="23">
        <v>2</v>
      </c>
      <c r="BF4" s="23">
        <v>1</v>
      </c>
      <c r="BG4" s="23">
        <v>0</v>
      </c>
      <c r="BH4" s="23">
        <v>0</v>
      </c>
      <c r="BI4" s="23">
        <v>0</v>
      </c>
      <c r="BJ4" s="23">
        <v>0</v>
      </c>
      <c r="BK4" s="23">
        <v>0</v>
      </c>
      <c r="BL4" s="23">
        <v>0</v>
      </c>
    </row>
    <row r="5" spans="1:64" ht="14.25" customHeight="1" x14ac:dyDescent="0.55000000000000004">
      <c r="A5" s="21">
        <v>2</v>
      </c>
      <c r="B5" s="21">
        <v>942</v>
      </c>
      <c r="C5" s="23">
        <f t="shared" si="0"/>
        <v>497</v>
      </c>
      <c r="D5" s="23">
        <f t="shared" si="0"/>
        <v>445</v>
      </c>
      <c r="E5" s="21">
        <v>85</v>
      </c>
      <c r="F5" s="21">
        <v>45</v>
      </c>
      <c r="G5" s="21">
        <v>40</v>
      </c>
      <c r="H5" s="21">
        <v>108</v>
      </c>
      <c r="I5" s="21">
        <v>58</v>
      </c>
      <c r="J5" s="21">
        <v>50</v>
      </c>
      <c r="K5" s="21">
        <v>92</v>
      </c>
      <c r="L5" s="21">
        <v>51</v>
      </c>
      <c r="M5" s="21">
        <v>41</v>
      </c>
      <c r="N5" s="21">
        <v>80</v>
      </c>
      <c r="O5" s="21">
        <v>43</v>
      </c>
      <c r="P5" s="21">
        <v>37</v>
      </c>
      <c r="Q5" s="21">
        <v>75</v>
      </c>
      <c r="R5" s="21">
        <v>37</v>
      </c>
      <c r="S5" s="21">
        <v>38</v>
      </c>
      <c r="T5" s="21">
        <v>76</v>
      </c>
      <c r="U5" s="21">
        <v>42</v>
      </c>
      <c r="V5" s="21">
        <v>34</v>
      </c>
      <c r="W5" s="21">
        <v>69</v>
      </c>
      <c r="X5" s="21">
        <v>37</v>
      </c>
      <c r="Y5" s="21">
        <v>32</v>
      </c>
      <c r="Z5" s="21">
        <v>56</v>
      </c>
      <c r="AA5" s="21">
        <v>30</v>
      </c>
      <c r="AB5" s="21">
        <v>26</v>
      </c>
      <c r="AC5" s="21">
        <v>56</v>
      </c>
      <c r="AD5" s="21">
        <v>27</v>
      </c>
      <c r="AE5" s="21">
        <v>29</v>
      </c>
      <c r="AF5" s="21">
        <v>45</v>
      </c>
      <c r="AG5" s="21">
        <v>24</v>
      </c>
      <c r="AH5" s="21">
        <v>21</v>
      </c>
      <c r="AI5" s="21">
        <v>43</v>
      </c>
      <c r="AJ5" s="21">
        <v>23</v>
      </c>
      <c r="AK5" s="21">
        <v>20</v>
      </c>
      <c r="AL5" s="21">
        <v>36</v>
      </c>
      <c r="AM5" s="21">
        <v>16</v>
      </c>
      <c r="AN5" s="21">
        <v>20</v>
      </c>
      <c r="AO5" s="21">
        <v>37</v>
      </c>
      <c r="AP5" s="21">
        <v>17</v>
      </c>
      <c r="AQ5" s="21">
        <v>20</v>
      </c>
      <c r="AR5" s="21">
        <v>33</v>
      </c>
      <c r="AS5" s="21">
        <v>18</v>
      </c>
      <c r="AT5" s="21">
        <v>15</v>
      </c>
      <c r="AU5" s="21">
        <v>23</v>
      </c>
      <c r="AV5" s="21">
        <v>13</v>
      </c>
      <c r="AW5" s="21">
        <v>10</v>
      </c>
      <c r="AX5" s="21">
        <v>13</v>
      </c>
      <c r="AY5" s="21">
        <v>6</v>
      </c>
      <c r="AZ5" s="21">
        <v>7</v>
      </c>
      <c r="BA5" s="21">
        <v>10</v>
      </c>
      <c r="BB5" s="21">
        <v>5</v>
      </c>
      <c r="BC5" s="21">
        <v>5</v>
      </c>
      <c r="BD5" s="21">
        <v>5</v>
      </c>
      <c r="BE5" s="21">
        <v>5</v>
      </c>
      <c r="BF5" s="21">
        <v>0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</row>
    <row r="6" spans="1:64" ht="14.25" customHeight="1" x14ac:dyDescent="0.55000000000000004">
      <c r="A6" s="21">
        <v>3</v>
      </c>
      <c r="B6" s="21">
        <v>1284</v>
      </c>
      <c r="C6" s="23">
        <f t="shared" si="0"/>
        <v>675</v>
      </c>
      <c r="D6" s="23">
        <f t="shared" si="0"/>
        <v>609</v>
      </c>
      <c r="E6" s="21">
        <v>105</v>
      </c>
      <c r="F6" s="21">
        <v>55</v>
      </c>
      <c r="G6" s="21">
        <v>50</v>
      </c>
      <c r="H6" s="21">
        <v>117</v>
      </c>
      <c r="I6" s="21">
        <v>69</v>
      </c>
      <c r="J6" s="21">
        <v>48</v>
      </c>
      <c r="K6" s="21">
        <v>120</v>
      </c>
      <c r="L6" s="21">
        <v>65</v>
      </c>
      <c r="M6" s="21">
        <v>55</v>
      </c>
      <c r="N6" s="21">
        <v>101</v>
      </c>
      <c r="O6" s="21">
        <v>50</v>
      </c>
      <c r="P6" s="21">
        <v>51</v>
      </c>
      <c r="Q6" s="21">
        <v>107</v>
      </c>
      <c r="R6" s="21">
        <v>58</v>
      </c>
      <c r="S6" s="21">
        <v>49</v>
      </c>
      <c r="T6" s="21">
        <v>111</v>
      </c>
      <c r="U6" s="21">
        <v>66</v>
      </c>
      <c r="V6" s="21">
        <v>45</v>
      </c>
      <c r="W6" s="21">
        <v>88</v>
      </c>
      <c r="X6" s="21">
        <v>50</v>
      </c>
      <c r="Y6" s="21">
        <v>38</v>
      </c>
      <c r="Z6" s="21">
        <v>77</v>
      </c>
      <c r="AA6" s="21">
        <v>36</v>
      </c>
      <c r="AB6" s="21">
        <v>41</v>
      </c>
      <c r="AC6" s="21">
        <v>55</v>
      </c>
      <c r="AD6" s="21">
        <v>29</v>
      </c>
      <c r="AE6" s="21">
        <v>26</v>
      </c>
      <c r="AF6" s="21">
        <v>72</v>
      </c>
      <c r="AG6" s="21">
        <v>34</v>
      </c>
      <c r="AH6" s="21">
        <v>38</v>
      </c>
      <c r="AI6" s="21">
        <v>83</v>
      </c>
      <c r="AJ6" s="21">
        <v>37</v>
      </c>
      <c r="AK6" s="21">
        <v>46</v>
      </c>
      <c r="AL6" s="21">
        <v>51</v>
      </c>
      <c r="AM6" s="21">
        <v>28</v>
      </c>
      <c r="AN6" s="21">
        <v>23</v>
      </c>
      <c r="AO6" s="21">
        <v>56</v>
      </c>
      <c r="AP6" s="21">
        <v>30</v>
      </c>
      <c r="AQ6" s="21">
        <v>26</v>
      </c>
      <c r="AR6" s="21">
        <v>45</v>
      </c>
      <c r="AS6" s="21">
        <v>23</v>
      </c>
      <c r="AT6" s="21">
        <v>22</v>
      </c>
      <c r="AU6" s="21">
        <v>39</v>
      </c>
      <c r="AV6" s="21">
        <v>19</v>
      </c>
      <c r="AW6" s="21">
        <v>20</v>
      </c>
      <c r="AX6" s="21">
        <v>27</v>
      </c>
      <c r="AY6" s="21">
        <v>13</v>
      </c>
      <c r="AZ6" s="21">
        <v>14</v>
      </c>
      <c r="BA6" s="21">
        <v>19</v>
      </c>
      <c r="BB6" s="21">
        <v>9</v>
      </c>
      <c r="BC6" s="21">
        <v>10</v>
      </c>
      <c r="BD6" s="21">
        <v>11</v>
      </c>
      <c r="BE6" s="21">
        <v>4</v>
      </c>
      <c r="BF6" s="21">
        <v>7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</row>
    <row r="7" spans="1:64" ht="14.25" customHeight="1" x14ac:dyDescent="0.55000000000000004">
      <c r="A7" s="21">
        <v>4</v>
      </c>
      <c r="B7" s="21">
        <v>1044</v>
      </c>
      <c r="C7" s="23">
        <f t="shared" si="0"/>
        <v>537</v>
      </c>
      <c r="D7" s="23">
        <f t="shared" si="0"/>
        <v>507</v>
      </c>
      <c r="E7" s="21">
        <v>95</v>
      </c>
      <c r="F7" s="21">
        <v>50</v>
      </c>
      <c r="G7" s="21">
        <v>45</v>
      </c>
      <c r="H7" s="21">
        <v>105</v>
      </c>
      <c r="I7" s="21">
        <v>62</v>
      </c>
      <c r="J7" s="21">
        <v>43</v>
      </c>
      <c r="K7" s="21">
        <v>95</v>
      </c>
      <c r="L7" s="21">
        <v>51</v>
      </c>
      <c r="M7" s="21">
        <v>44</v>
      </c>
      <c r="N7" s="21">
        <v>78</v>
      </c>
      <c r="O7" s="21">
        <v>39</v>
      </c>
      <c r="P7" s="21">
        <v>39</v>
      </c>
      <c r="Q7" s="21">
        <v>82</v>
      </c>
      <c r="R7" s="21">
        <v>43</v>
      </c>
      <c r="S7" s="21">
        <v>39</v>
      </c>
      <c r="T7" s="21">
        <v>73</v>
      </c>
      <c r="U7" s="21">
        <v>33</v>
      </c>
      <c r="V7" s="21">
        <v>40</v>
      </c>
      <c r="W7" s="21">
        <v>76</v>
      </c>
      <c r="X7" s="21">
        <v>37</v>
      </c>
      <c r="Y7" s="21">
        <v>39</v>
      </c>
      <c r="Z7" s="21">
        <v>67</v>
      </c>
      <c r="AA7" s="21">
        <v>34</v>
      </c>
      <c r="AB7" s="21">
        <v>33</v>
      </c>
      <c r="AC7" s="21">
        <v>53</v>
      </c>
      <c r="AD7" s="21">
        <v>26</v>
      </c>
      <c r="AE7" s="21">
        <v>27</v>
      </c>
      <c r="AF7" s="21">
        <v>62</v>
      </c>
      <c r="AG7" s="21">
        <v>32</v>
      </c>
      <c r="AH7" s="21">
        <v>30</v>
      </c>
      <c r="AI7" s="21">
        <v>63</v>
      </c>
      <c r="AJ7" s="21">
        <v>33</v>
      </c>
      <c r="AK7" s="21">
        <v>30</v>
      </c>
      <c r="AL7" s="21">
        <v>55</v>
      </c>
      <c r="AM7" s="21">
        <v>29</v>
      </c>
      <c r="AN7" s="21">
        <v>26</v>
      </c>
      <c r="AO7" s="21">
        <v>41</v>
      </c>
      <c r="AP7" s="21">
        <v>16</v>
      </c>
      <c r="AQ7" s="21">
        <v>25</v>
      </c>
      <c r="AR7" s="21">
        <v>40</v>
      </c>
      <c r="AS7" s="21">
        <v>22</v>
      </c>
      <c r="AT7" s="21">
        <v>18</v>
      </c>
      <c r="AU7" s="21">
        <v>29</v>
      </c>
      <c r="AV7" s="21">
        <v>15</v>
      </c>
      <c r="AW7" s="21">
        <v>14</v>
      </c>
      <c r="AX7" s="21">
        <v>15</v>
      </c>
      <c r="AY7" s="21">
        <v>8</v>
      </c>
      <c r="AZ7" s="21">
        <v>7</v>
      </c>
      <c r="BA7" s="21">
        <v>11</v>
      </c>
      <c r="BB7" s="21">
        <v>5</v>
      </c>
      <c r="BC7" s="21">
        <v>6</v>
      </c>
      <c r="BD7" s="21">
        <v>4</v>
      </c>
      <c r="BE7" s="21">
        <v>2</v>
      </c>
      <c r="BF7" s="21">
        <v>2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</row>
    <row r="8" spans="1:64" ht="14.25" customHeight="1" x14ac:dyDescent="0.55000000000000004">
      <c r="A8" s="21">
        <v>5</v>
      </c>
      <c r="B8" s="21">
        <v>1704</v>
      </c>
      <c r="C8" s="23">
        <f t="shared" si="0"/>
        <v>891</v>
      </c>
      <c r="D8" s="23">
        <f t="shared" si="0"/>
        <v>813</v>
      </c>
      <c r="E8" s="21">
        <v>153</v>
      </c>
      <c r="F8" s="21">
        <v>81</v>
      </c>
      <c r="G8" s="21">
        <v>72</v>
      </c>
      <c r="H8" s="21">
        <v>167</v>
      </c>
      <c r="I8" s="21">
        <v>88</v>
      </c>
      <c r="J8" s="21">
        <v>79</v>
      </c>
      <c r="K8" s="21">
        <v>154</v>
      </c>
      <c r="L8" s="21">
        <v>75</v>
      </c>
      <c r="M8" s="21">
        <v>79</v>
      </c>
      <c r="N8" s="21">
        <v>112</v>
      </c>
      <c r="O8" s="21">
        <v>60</v>
      </c>
      <c r="P8" s="21">
        <v>52</v>
      </c>
      <c r="Q8" s="21">
        <v>99</v>
      </c>
      <c r="R8" s="21">
        <v>52</v>
      </c>
      <c r="S8" s="21">
        <v>47</v>
      </c>
      <c r="T8" s="21">
        <v>138</v>
      </c>
      <c r="U8" s="21">
        <v>72</v>
      </c>
      <c r="V8" s="21">
        <v>66</v>
      </c>
      <c r="W8" s="21">
        <v>145</v>
      </c>
      <c r="X8" s="21">
        <v>79</v>
      </c>
      <c r="Y8" s="21">
        <v>66</v>
      </c>
      <c r="Z8" s="21">
        <v>125</v>
      </c>
      <c r="AA8" s="21">
        <v>63</v>
      </c>
      <c r="AB8" s="21">
        <v>62</v>
      </c>
      <c r="AC8" s="21">
        <v>109</v>
      </c>
      <c r="AD8" s="21">
        <v>56</v>
      </c>
      <c r="AE8" s="21">
        <v>53</v>
      </c>
      <c r="AF8" s="21">
        <v>106</v>
      </c>
      <c r="AG8" s="21">
        <v>65</v>
      </c>
      <c r="AH8" s="21">
        <v>41</v>
      </c>
      <c r="AI8" s="21">
        <v>83</v>
      </c>
      <c r="AJ8" s="21">
        <v>41</v>
      </c>
      <c r="AK8" s="21">
        <v>42</v>
      </c>
      <c r="AL8" s="21">
        <v>78</v>
      </c>
      <c r="AM8" s="21">
        <v>43</v>
      </c>
      <c r="AN8" s="21">
        <v>35</v>
      </c>
      <c r="AO8" s="21">
        <v>59</v>
      </c>
      <c r="AP8" s="21">
        <v>29</v>
      </c>
      <c r="AQ8" s="21">
        <v>30</v>
      </c>
      <c r="AR8" s="21">
        <v>59</v>
      </c>
      <c r="AS8" s="21">
        <v>29</v>
      </c>
      <c r="AT8" s="21">
        <v>30</v>
      </c>
      <c r="AU8" s="21">
        <v>51</v>
      </c>
      <c r="AV8" s="21">
        <v>25</v>
      </c>
      <c r="AW8" s="21">
        <v>26</v>
      </c>
      <c r="AX8" s="21">
        <v>34</v>
      </c>
      <c r="AY8" s="21">
        <v>18</v>
      </c>
      <c r="AZ8" s="21">
        <v>16</v>
      </c>
      <c r="BA8" s="21">
        <v>22</v>
      </c>
      <c r="BB8" s="21">
        <v>10</v>
      </c>
      <c r="BC8" s="21">
        <v>12</v>
      </c>
      <c r="BD8" s="21">
        <v>10</v>
      </c>
      <c r="BE8" s="21">
        <v>5</v>
      </c>
      <c r="BF8" s="21">
        <v>5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</row>
    <row r="9" spans="1:64" ht="14.25" customHeight="1" x14ac:dyDescent="0.55000000000000004"/>
    <row r="10" spans="1:64" ht="14.25" customHeight="1" x14ac:dyDescent="0.55000000000000004">
      <c r="A10" s="23" t="s">
        <v>120</v>
      </c>
      <c r="B10" s="23">
        <f t="shared" ref="B10:D10" si="1">B4</f>
        <v>1455</v>
      </c>
      <c r="C10" s="23">
        <f t="shared" si="1"/>
        <v>734</v>
      </c>
      <c r="D10" s="23">
        <f t="shared" si="1"/>
        <v>721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</row>
    <row r="11" spans="1:64" ht="14.25" customHeight="1" x14ac:dyDescent="0.55000000000000004"/>
    <row r="12" spans="1:64" ht="14.25" customHeight="1" x14ac:dyDescent="0.55000000000000004"/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B3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1000"/>
  <sheetViews>
    <sheetView workbookViewId="0">
      <selection activeCell="E11" sqref="E11"/>
    </sheetView>
  </sheetViews>
  <sheetFormatPr defaultColWidth="14.41796875" defaultRowHeight="15" customHeight="1" x14ac:dyDescent="0.55000000000000004"/>
  <cols>
    <col min="1" max="64" width="10" customWidth="1"/>
  </cols>
  <sheetData>
    <row r="1" spans="1:64" ht="14.25" customHeight="1" x14ac:dyDescent="0.6">
      <c r="A1" s="56" t="s">
        <v>116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37</v>
      </c>
      <c r="D3" s="6" t="s">
        <v>117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3">
        <v>1</v>
      </c>
      <c r="B4" s="23">
        <v>2493</v>
      </c>
      <c r="C4" s="23">
        <f t="shared" ref="C4:D8" si="0">SUM(F4,I4,L4,O4,R4,U4,X4,AA4,AD4,AG4,AJ4,AM4,AP4,AS4,AV4,AY4,BB4,BE4,BH4,BK4)</f>
        <v>1195</v>
      </c>
      <c r="D4" s="23">
        <f t="shared" si="0"/>
        <v>1298</v>
      </c>
      <c r="E4" s="23">
        <v>172</v>
      </c>
      <c r="F4" s="23">
        <v>91</v>
      </c>
      <c r="G4" s="23">
        <v>81</v>
      </c>
      <c r="H4" s="23">
        <v>209</v>
      </c>
      <c r="I4" s="23">
        <v>109</v>
      </c>
      <c r="J4" s="23">
        <v>100</v>
      </c>
      <c r="K4" s="23">
        <v>251</v>
      </c>
      <c r="L4" s="23">
        <v>128</v>
      </c>
      <c r="M4" s="23">
        <v>123</v>
      </c>
      <c r="N4" s="23">
        <v>256</v>
      </c>
      <c r="O4" s="23">
        <v>124</v>
      </c>
      <c r="P4" s="23">
        <v>132</v>
      </c>
      <c r="Q4" s="23">
        <v>227</v>
      </c>
      <c r="R4" s="23">
        <v>101</v>
      </c>
      <c r="S4" s="23">
        <v>126</v>
      </c>
      <c r="T4" s="23">
        <v>191</v>
      </c>
      <c r="U4" s="23">
        <v>88</v>
      </c>
      <c r="V4" s="23">
        <v>103</v>
      </c>
      <c r="W4" s="23">
        <v>165</v>
      </c>
      <c r="X4" s="23">
        <v>67</v>
      </c>
      <c r="Y4" s="23">
        <v>98</v>
      </c>
      <c r="Z4" s="23">
        <v>221</v>
      </c>
      <c r="AA4" s="23">
        <v>90</v>
      </c>
      <c r="AB4" s="23">
        <v>131</v>
      </c>
      <c r="AC4" s="23">
        <v>192</v>
      </c>
      <c r="AD4" s="23">
        <v>88</v>
      </c>
      <c r="AE4" s="23">
        <v>104</v>
      </c>
      <c r="AF4" s="23">
        <v>152</v>
      </c>
      <c r="AG4" s="23">
        <v>76</v>
      </c>
      <c r="AH4" s="23">
        <v>76</v>
      </c>
      <c r="AI4" s="23">
        <v>110</v>
      </c>
      <c r="AJ4" s="23">
        <v>58</v>
      </c>
      <c r="AK4" s="23">
        <v>52</v>
      </c>
      <c r="AL4" s="23">
        <v>83</v>
      </c>
      <c r="AM4" s="23">
        <v>42</v>
      </c>
      <c r="AN4" s="23">
        <v>41</v>
      </c>
      <c r="AO4" s="23">
        <v>62</v>
      </c>
      <c r="AP4" s="23">
        <v>33</v>
      </c>
      <c r="AQ4" s="23">
        <v>29</v>
      </c>
      <c r="AR4" s="23">
        <v>64</v>
      </c>
      <c r="AS4" s="23">
        <v>33</v>
      </c>
      <c r="AT4" s="23">
        <v>31</v>
      </c>
      <c r="AU4" s="23">
        <v>62</v>
      </c>
      <c r="AV4" s="23">
        <v>29</v>
      </c>
      <c r="AW4" s="23">
        <v>33</v>
      </c>
      <c r="AX4" s="23">
        <v>54</v>
      </c>
      <c r="AY4" s="23">
        <v>29</v>
      </c>
      <c r="AZ4" s="23">
        <v>25</v>
      </c>
      <c r="BA4" s="23">
        <v>12</v>
      </c>
      <c r="BB4" s="23">
        <v>6</v>
      </c>
      <c r="BC4" s="23">
        <v>6</v>
      </c>
      <c r="BD4" s="23">
        <v>6</v>
      </c>
      <c r="BE4" s="23">
        <v>1</v>
      </c>
      <c r="BF4" s="23">
        <v>5</v>
      </c>
      <c r="BG4" s="23">
        <v>4</v>
      </c>
      <c r="BH4" s="23">
        <v>2</v>
      </c>
      <c r="BI4" s="23">
        <v>2</v>
      </c>
      <c r="BJ4" s="23">
        <v>0</v>
      </c>
      <c r="BK4" s="23">
        <v>0</v>
      </c>
      <c r="BL4" s="23">
        <v>0</v>
      </c>
    </row>
    <row r="5" spans="1:64" ht="14.25" customHeight="1" x14ac:dyDescent="0.55000000000000004">
      <c r="A5" s="21">
        <v>2</v>
      </c>
      <c r="B5" s="21">
        <v>2826</v>
      </c>
      <c r="C5" s="23">
        <f t="shared" si="0"/>
        <v>1326</v>
      </c>
      <c r="D5" s="23">
        <f t="shared" si="0"/>
        <v>1500</v>
      </c>
      <c r="E5" s="21">
        <v>212</v>
      </c>
      <c r="F5" s="21">
        <v>111</v>
      </c>
      <c r="G5" s="21">
        <v>101</v>
      </c>
      <c r="H5" s="21">
        <v>222</v>
      </c>
      <c r="I5" s="21">
        <v>111</v>
      </c>
      <c r="J5" s="21">
        <v>111</v>
      </c>
      <c r="K5" s="21">
        <v>214</v>
      </c>
      <c r="L5" s="21">
        <v>111</v>
      </c>
      <c r="M5" s="21">
        <v>103</v>
      </c>
      <c r="N5" s="21">
        <v>207</v>
      </c>
      <c r="O5" s="21">
        <v>97</v>
      </c>
      <c r="P5" s="21">
        <v>110</v>
      </c>
      <c r="Q5" s="21">
        <v>222</v>
      </c>
      <c r="R5" s="21">
        <v>91</v>
      </c>
      <c r="S5" s="21">
        <v>131</v>
      </c>
      <c r="T5" s="21">
        <v>232</v>
      </c>
      <c r="U5" s="21">
        <v>97</v>
      </c>
      <c r="V5" s="21">
        <v>135</v>
      </c>
      <c r="W5" s="21">
        <v>267</v>
      </c>
      <c r="X5" s="21">
        <v>114</v>
      </c>
      <c r="Y5" s="21">
        <v>153</v>
      </c>
      <c r="Z5" s="21">
        <v>245</v>
      </c>
      <c r="AA5" s="21">
        <v>110</v>
      </c>
      <c r="AB5" s="21">
        <v>135</v>
      </c>
      <c r="AC5" s="21">
        <v>199</v>
      </c>
      <c r="AD5" s="21">
        <v>96</v>
      </c>
      <c r="AE5" s="21">
        <v>103</v>
      </c>
      <c r="AF5" s="21">
        <v>171</v>
      </c>
      <c r="AG5" s="21">
        <v>82</v>
      </c>
      <c r="AH5" s="21">
        <v>89</v>
      </c>
      <c r="AI5" s="21">
        <v>146</v>
      </c>
      <c r="AJ5" s="21">
        <v>66</v>
      </c>
      <c r="AK5" s="21">
        <v>80</v>
      </c>
      <c r="AL5" s="21">
        <v>141</v>
      </c>
      <c r="AM5" s="21">
        <v>67</v>
      </c>
      <c r="AN5" s="21">
        <v>74</v>
      </c>
      <c r="AO5" s="21">
        <v>104</v>
      </c>
      <c r="AP5" s="21">
        <v>54</v>
      </c>
      <c r="AQ5" s="21">
        <v>50</v>
      </c>
      <c r="AR5" s="21">
        <v>89</v>
      </c>
      <c r="AS5" s="21">
        <v>47</v>
      </c>
      <c r="AT5" s="21">
        <v>42</v>
      </c>
      <c r="AU5" s="21">
        <v>76</v>
      </c>
      <c r="AV5" s="21">
        <v>34</v>
      </c>
      <c r="AW5" s="21">
        <v>42</v>
      </c>
      <c r="AX5" s="21">
        <v>41</v>
      </c>
      <c r="AY5" s="21">
        <v>20</v>
      </c>
      <c r="AZ5" s="21">
        <v>21</v>
      </c>
      <c r="BA5" s="21">
        <v>20</v>
      </c>
      <c r="BB5" s="21">
        <v>10</v>
      </c>
      <c r="BC5" s="21">
        <v>10</v>
      </c>
      <c r="BD5" s="21">
        <v>10</v>
      </c>
      <c r="BE5" s="21">
        <v>5</v>
      </c>
      <c r="BF5" s="21">
        <v>5</v>
      </c>
      <c r="BG5" s="21">
        <v>8</v>
      </c>
      <c r="BH5" s="21">
        <v>3</v>
      </c>
      <c r="BI5" s="21">
        <v>5</v>
      </c>
      <c r="BJ5" s="21">
        <v>0</v>
      </c>
      <c r="BK5" s="21">
        <v>0</v>
      </c>
      <c r="BL5" s="21">
        <v>0</v>
      </c>
    </row>
    <row r="6" spans="1:64" ht="14.25" customHeight="1" x14ac:dyDescent="0.55000000000000004">
      <c r="A6" s="21">
        <v>3</v>
      </c>
      <c r="B6" s="21">
        <v>1594</v>
      </c>
      <c r="C6" s="23">
        <f t="shared" si="0"/>
        <v>754</v>
      </c>
      <c r="D6" s="23">
        <f t="shared" si="0"/>
        <v>840</v>
      </c>
      <c r="E6" s="21">
        <v>115</v>
      </c>
      <c r="F6" s="21">
        <v>60</v>
      </c>
      <c r="G6" s="21">
        <v>55</v>
      </c>
      <c r="H6" s="21">
        <v>104</v>
      </c>
      <c r="I6" s="21">
        <v>56</v>
      </c>
      <c r="J6" s="21">
        <v>48</v>
      </c>
      <c r="K6" s="21">
        <v>98</v>
      </c>
      <c r="L6" s="21">
        <v>50</v>
      </c>
      <c r="M6" s="21">
        <v>48</v>
      </c>
      <c r="N6" s="21">
        <v>106</v>
      </c>
      <c r="O6" s="21">
        <v>50</v>
      </c>
      <c r="P6" s="21">
        <v>56</v>
      </c>
      <c r="Q6" s="21">
        <v>113</v>
      </c>
      <c r="R6" s="21">
        <v>51</v>
      </c>
      <c r="S6" s="21">
        <v>62</v>
      </c>
      <c r="T6" s="21">
        <v>142</v>
      </c>
      <c r="U6" s="21">
        <v>56</v>
      </c>
      <c r="V6" s="21">
        <v>86</v>
      </c>
      <c r="W6" s="21">
        <v>145</v>
      </c>
      <c r="X6" s="21">
        <v>64</v>
      </c>
      <c r="Y6" s="21">
        <v>81</v>
      </c>
      <c r="Z6" s="21">
        <v>139</v>
      </c>
      <c r="AA6" s="21">
        <v>62</v>
      </c>
      <c r="AB6" s="21">
        <v>77</v>
      </c>
      <c r="AC6" s="21">
        <v>112</v>
      </c>
      <c r="AD6" s="21">
        <v>53</v>
      </c>
      <c r="AE6" s="21">
        <v>59</v>
      </c>
      <c r="AF6" s="21">
        <v>97</v>
      </c>
      <c r="AG6" s="21">
        <v>45</v>
      </c>
      <c r="AH6" s="21">
        <v>52</v>
      </c>
      <c r="AI6" s="21">
        <v>84</v>
      </c>
      <c r="AJ6" s="21">
        <v>39</v>
      </c>
      <c r="AK6" s="21">
        <v>45</v>
      </c>
      <c r="AL6" s="21">
        <v>72</v>
      </c>
      <c r="AM6" s="21">
        <v>30</v>
      </c>
      <c r="AN6" s="21">
        <v>42</v>
      </c>
      <c r="AO6" s="21">
        <v>67</v>
      </c>
      <c r="AP6" s="21">
        <v>30</v>
      </c>
      <c r="AQ6" s="21">
        <v>37</v>
      </c>
      <c r="AR6" s="21">
        <v>63</v>
      </c>
      <c r="AS6" s="21">
        <v>33</v>
      </c>
      <c r="AT6" s="21">
        <v>30</v>
      </c>
      <c r="AU6" s="21">
        <v>62</v>
      </c>
      <c r="AV6" s="21">
        <v>37</v>
      </c>
      <c r="AW6" s="21">
        <v>25</v>
      </c>
      <c r="AX6" s="21">
        <v>40</v>
      </c>
      <c r="AY6" s="21">
        <v>20</v>
      </c>
      <c r="AZ6" s="21">
        <v>20</v>
      </c>
      <c r="BA6" s="21">
        <v>24</v>
      </c>
      <c r="BB6" s="21">
        <v>12</v>
      </c>
      <c r="BC6" s="21">
        <v>12</v>
      </c>
      <c r="BD6" s="21">
        <v>10</v>
      </c>
      <c r="BE6" s="21">
        <v>5</v>
      </c>
      <c r="BF6" s="21">
        <v>5</v>
      </c>
      <c r="BG6" s="21">
        <v>1</v>
      </c>
      <c r="BH6" s="21">
        <v>1</v>
      </c>
      <c r="BI6" s="21">
        <v>0</v>
      </c>
      <c r="BJ6" s="21">
        <v>0</v>
      </c>
      <c r="BK6" s="21">
        <v>0</v>
      </c>
      <c r="BL6" s="21">
        <v>0</v>
      </c>
    </row>
    <row r="7" spans="1:64" ht="14.25" customHeight="1" x14ac:dyDescent="0.55000000000000004">
      <c r="A7" s="21">
        <v>4</v>
      </c>
      <c r="B7" s="21">
        <v>986</v>
      </c>
      <c r="C7" s="23">
        <f t="shared" si="0"/>
        <v>467</v>
      </c>
      <c r="D7" s="23">
        <f t="shared" si="0"/>
        <v>519</v>
      </c>
      <c r="E7" s="21">
        <v>65</v>
      </c>
      <c r="F7" s="21">
        <v>35</v>
      </c>
      <c r="G7" s="21">
        <v>30</v>
      </c>
      <c r="H7" s="21">
        <v>53</v>
      </c>
      <c r="I7" s="21">
        <v>30</v>
      </c>
      <c r="J7" s="21">
        <v>23</v>
      </c>
      <c r="K7" s="21">
        <v>74</v>
      </c>
      <c r="L7" s="21">
        <v>39</v>
      </c>
      <c r="M7" s="21">
        <v>35</v>
      </c>
      <c r="N7" s="21">
        <v>81</v>
      </c>
      <c r="O7" s="21">
        <v>40</v>
      </c>
      <c r="P7" s="21">
        <v>41</v>
      </c>
      <c r="Q7" s="21">
        <v>68</v>
      </c>
      <c r="R7" s="21">
        <v>28</v>
      </c>
      <c r="S7" s="21">
        <v>40</v>
      </c>
      <c r="T7" s="21">
        <v>66</v>
      </c>
      <c r="U7" s="21">
        <v>28</v>
      </c>
      <c r="V7" s="21">
        <v>38</v>
      </c>
      <c r="W7" s="21">
        <v>80</v>
      </c>
      <c r="X7" s="21">
        <v>31</v>
      </c>
      <c r="Y7" s="21">
        <v>49</v>
      </c>
      <c r="Z7" s="21">
        <v>93</v>
      </c>
      <c r="AA7" s="21">
        <v>41</v>
      </c>
      <c r="AB7" s="21">
        <v>52</v>
      </c>
      <c r="AC7" s="21">
        <v>74</v>
      </c>
      <c r="AD7" s="21">
        <v>39</v>
      </c>
      <c r="AE7" s="21">
        <v>35</v>
      </c>
      <c r="AF7" s="21">
        <v>50</v>
      </c>
      <c r="AG7" s="21">
        <v>24</v>
      </c>
      <c r="AH7" s="21">
        <v>26</v>
      </c>
      <c r="AI7" s="21">
        <v>43</v>
      </c>
      <c r="AJ7" s="21">
        <v>17</v>
      </c>
      <c r="AK7" s="21">
        <v>26</v>
      </c>
      <c r="AL7" s="21">
        <v>57</v>
      </c>
      <c r="AM7" s="21">
        <v>24</v>
      </c>
      <c r="AN7" s="21">
        <v>33</v>
      </c>
      <c r="AO7" s="21">
        <v>53</v>
      </c>
      <c r="AP7" s="21">
        <v>27</v>
      </c>
      <c r="AQ7" s="21">
        <v>26</v>
      </c>
      <c r="AR7" s="21">
        <v>52</v>
      </c>
      <c r="AS7" s="21">
        <v>28</v>
      </c>
      <c r="AT7" s="21">
        <v>24</v>
      </c>
      <c r="AU7" s="21">
        <v>39</v>
      </c>
      <c r="AV7" s="21">
        <v>21</v>
      </c>
      <c r="AW7" s="21">
        <v>18</v>
      </c>
      <c r="AX7" s="21">
        <v>18</v>
      </c>
      <c r="AY7" s="21">
        <v>8</v>
      </c>
      <c r="AZ7" s="21">
        <v>10</v>
      </c>
      <c r="BA7" s="21">
        <v>12</v>
      </c>
      <c r="BB7" s="21">
        <v>5</v>
      </c>
      <c r="BC7" s="21">
        <v>7</v>
      </c>
      <c r="BD7" s="21">
        <v>7</v>
      </c>
      <c r="BE7" s="21">
        <v>2</v>
      </c>
      <c r="BF7" s="21">
        <v>5</v>
      </c>
      <c r="BG7" s="21">
        <v>1</v>
      </c>
      <c r="BH7" s="21">
        <v>0</v>
      </c>
      <c r="BI7" s="21">
        <v>1</v>
      </c>
      <c r="BJ7" s="21">
        <v>0</v>
      </c>
      <c r="BK7" s="21">
        <v>0</v>
      </c>
      <c r="BL7" s="21">
        <v>0</v>
      </c>
    </row>
    <row r="8" spans="1:64" ht="14.25" customHeight="1" x14ac:dyDescent="0.55000000000000004">
      <c r="A8" s="21">
        <v>5</v>
      </c>
      <c r="B8" s="21">
        <v>1885</v>
      </c>
      <c r="C8" s="23">
        <f t="shared" si="0"/>
        <v>904</v>
      </c>
      <c r="D8" s="23">
        <f t="shared" si="0"/>
        <v>981</v>
      </c>
      <c r="E8" s="21">
        <v>144</v>
      </c>
      <c r="F8" s="21">
        <v>75</v>
      </c>
      <c r="G8" s="21">
        <v>69</v>
      </c>
      <c r="H8" s="21">
        <v>123</v>
      </c>
      <c r="I8" s="21">
        <v>68</v>
      </c>
      <c r="J8" s="21">
        <v>55</v>
      </c>
      <c r="K8" s="21">
        <v>122</v>
      </c>
      <c r="L8" s="21">
        <v>72</v>
      </c>
      <c r="M8" s="21">
        <v>50</v>
      </c>
      <c r="N8" s="21">
        <v>140</v>
      </c>
      <c r="O8" s="21">
        <v>78</v>
      </c>
      <c r="P8" s="21">
        <v>62</v>
      </c>
      <c r="Q8" s="21">
        <v>153</v>
      </c>
      <c r="R8" s="21">
        <v>72</v>
      </c>
      <c r="S8" s="21">
        <v>81</v>
      </c>
      <c r="T8" s="21">
        <v>156</v>
      </c>
      <c r="U8" s="21">
        <v>58</v>
      </c>
      <c r="V8" s="21">
        <v>98</v>
      </c>
      <c r="W8" s="21">
        <v>164</v>
      </c>
      <c r="X8" s="21">
        <v>67</v>
      </c>
      <c r="Y8" s="21">
        <v>97</v>
      </c>
      <c r="Z8" s="21">
        <v>155</v>
      </c>
      <c r="AA8" s="21">
        <v>63</v>
      </c>
      <c r="AB8" s="21">
        <v>92</v>
      </c>
      <c r="AC8" s="21">
        <v>139</v>
      </c>
      <c r="AD8" s="21">
        <v>63</v>
      </c>
      <c r="AE8" s="21">
        <v>76</v>
      </c>
      <c r="AF8" s="21">
        <v>125</v>
      </c>
      <c r="AG8" s="21">
        <v>64</v>
      </c>
      <c r="AH8" s="21">
        <v>61</v>
      </c>
      <c r="AI8" s="21">
        <v>107</v>
      </c>
      <c r="AJ8" s="21">
        <v>49</v>
      </c>
      <c r="AK8" s="21">
        <v>58</v>
      </c>
      <c r="AL8" s="21">
        <v>90</v>
      </c>
      <c r="AM8" s="21">
        <v>40</v>
      </c>
      <c r="AN8" s="21">
        <v>50</v>
      </c>
      <c r="AO8" s="21">
        <v>73</v>
      </c>
      <c r="AP8" s="21">
        <v>38</v>
      </c>
      <c r="AQ8" s="21">
        <v>35</v>
      </c>
      <c r="AR8" s="21">
        <v>66</v>
      </c>
      <c r="AS8" s="21">
        <v>35</v>
      </c>
      <c r="AT8" s="21">
        <v>31</v>
      </c>
      <c r="AU8" s="21">
        <v>59</v>
      </c>
      <c r="AV8" s="21">
        <v>29</v>
      </c>
      <c r="AW8" s="21">
        <v>30</v>
      </c>
      <c r="AX8" s="21">
        <v>43</v>
      </c>
      <c r="AY8" s="21">
        <v>22</v>
      </c>
      <c r="AZ8" s="21">
        <v>21</v>
      </c>
      <c r="BA8" s="21">
        <v>20</v>
      </c>
      <c r="BB8" s="21">
        <v>9</v>
      </c>
      <c r="BC8" s="21">
        <v>11</v>
      </c>
      <c r="BD8" s="21">
        <v>6</v>
      </c>
      <c r="BE8" s="21">
        <v>2</v>
      </c>
      <c r="BF8" s="21">
        <v>4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</row>
    <row r="9" spans="1:64" ht="14.25" customHeight="1" x14ac:dyDescent="0.55000000000000004"/>
    <row r="10" spans="1:64" ht="14.25" customHeight="1" x14ac:dyDescent="0.55000000000000004"/>
    <row r="11" spans="1:64" ht="14.25" customHeight="1" x14ac:dyDescent="0.55000000000000004">
      <c r="A11" s="23" t="s">
        <v>120</v>
      </c>
      <c r="B11" s="23">
        <f t="shared" ref="B11:D11" si="1">B4</f>
        <v>2493</v>
      </c>
      <c r="C11" s="23">
        <f t="shared" si="1"/>
        <v>1195</v>
      </c>
      <c r="D11" s="23">
        <f t="shared" si="1"/>
        <v>1298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</row>
    <row r="12" spans="1:64" ht="14.25" customHeight="1" x14ac:dyDescent="0.55000000000000004"/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7.68359375" customWidth="1"/>
    <col min="2" max="64" width="10" customWidth="1"/>
  </cols>
  <sheetData>
    <row r="1" spans="1:64" ht="14.25" customHeight="1" x14ac:dyDescent="0.6">
      <c r="A1" s="56" t="s">
        <v>118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6" t="s">
        <v>119</v>
      </c>
      <c r="D2" s="6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55"/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2544</v>
      </c>
      <c r="C4" s="21">
        <f t="shared" ref="C4:D4" si="0">SUM(F4,I4,L4,O4,R4,U4,X4,AA4,AD4,AG4,AJ4,AM4,AP4,AS4,AV4,AY4,BB4,BE4,BH4,BK4)</f>
        <v>1169</v>
      </c>
      <c r="D4" s="21">
        <f t="shared" si="0"/>
        <v>1375</v>
      </c>
      <c r="E4" s="21">
        <v>240</v>
      </c>
      <c r="F4" s="21">
        <v>125</v>
      </c>
      <c r="G4" s="21">
        <v>115</v>
      </c>
      <c r="H4" s="21">
        <v>196</v>
      </c>
      <c r="I4" s="21">
        <v>100</v>
      </c>
      <c r="J4" s="21">
        <v>96</v>
      </c>
      <c r="K4" s="21">
        <v>202</v>
      </c>
      <c r="L4" s="21">
        <v>96</v>
      </c>
      <c r="M4" s="21">
        <v>106</v>
      </c>
      <c r="N4" s="21">
        <v>197</v>
      </c>
      <c r="O4" s="21">
        <v>89</v>
      </c>
      <c r="P4" s="21">
        <v>108</v>
      </c>
      <c r="Q4" s="21">
        <v>194</v>
      </c>
      <c r="R4" s="21">
        <v>73</v>
      </c>
      <c r="S4" s="21">
        <v>121</v>
      </c>
      <c r="T4" s="21">
        <v>178</v>
      </c>
      <c r="U4" s="21">
        <v>68</v>
      </c>
      <c r="V4" s="21">
        <v>110</v>
      </c>
      <c r="W4" s="21">
        <v>165</v>
      </c>
      <c r="X4" s="21">
        <v>75</v>
      </c>
      <c r="Y4" s="21">
        <v>90</v>
      </c>
      <c r="Z4" s="21">
        <v>135</v>
      </c>
      <c r="AA4" s="21">
        <v>58</v>
      </c>
      <c r="AB4" s="21">
        <v>77</v>
      </c>
      <c r="AC4" s="21">
        <v>131</v>
      </c>
      <c r="AD4" s="21">
        <v>56</v>
      </c>
      <c r="AE4" s="21">
        <v>75</v>
      </c>
      <c r="AF4" s="21">
        <v>137</v>
      </c>
      <c r="AG4" s="21">
        <v>65</v>
      </c>
      <c r="AH4" s="21">
        <v>72</v>
      </c>
      <c r="AI4" s="21">
        <v>137</v>
      </c>
      <c r="AJ4" s="21">
        <v>66</v>
      </c>
      <c r="AK4" s="21">
        <v>71</v>
      </c>
      <c r="AL4" s="21">
        <v>139</v>
      </c>
      <c r="AM4" s="21">
        <v>58</v>
      </c>
      <c r="AN4" s="21">
        <v>81</v>
      </c>
      <c r="AO4" s="21">
        <v>127</v>
      </c>
      <c r="AP4" s="21">
        <v>63</v>
      </c>
      <c r="AQ4" s="21">
        <v>64</v>
      </c>
      <c r="AR4" s="21">
        <v>134</v>
      </c>
      <c r="AS4" s="21">
        <v>67</v>
      </c>
      <c r="AT4" s="21">
        <v>67</v>
      </c>
      <c r="AU4" s="21">
        <v>104</v>
      </c>
      <c r="AV4" s="21">
        <v>54</v>
      </c>
      <c r="AW4" s="21">
        <v>50</v>
      </c>
      <c r="AX4" s="21">
        <v>73</v>
      </c>
      <c r="AY4" s="21">
        <v>33</v>
      </c>
      <c r="AZ4" s="21">
        <v>40</v>
      </c>
      <c r="BA4" s="21">
        <v>37</v>
      </c>
      <c r="BB4" s="21">
        <v>17</v>
      </c>
      <c r="BC4" s="21">
        <v>20</v>
      </c>
      <c r="BD4" s="21">
        <v>10</v>
      </c>
      <c r="BE4" s="21">
        <v>5</v>
      </c>
      <c r="BF4" s="21">
        <v>5</v>
      </c>
      <c r="BG4" s="21">
        <v>8</v>
      </c>
      <c r="BH4" s="21">
        <v>1</v>
      </c>
      <c r="BI4" s="21">
        <v>7</v>
      </c>
      <c r="BJ4" s="21">
        <v>0</v>
      </c>
      <c r="BK4" s="21">
        <v>0</v>
      </c>
      <c r="BL4" s="21">
        <v>0</v>
      </c>
    </row>
    <row r="5" spans="1:64" ht="14.25" customHeight="1" x14ac:dyDescent="0.55000000000000004">
      <c r="A5" s="23">
        <v>2</v>
      </c>
      <c r="B5" s="23">
        <v>2020</v>
      </c>
      <c r="C5" s="23">
        <f t="shared" ref="C5:D5" si="1">SUM(F5,I5,L5,O5,R5,U5,X5,AA5,AD5,AG5,AJ5,AM5,AP5,AS5,AV5,AY5,BB5,BE5,BH5,BK5)</f>
        <v>921</v>
      </c>
      <c r="D5" s="23">
        <f t="shared" si="1"/>
        <v>1099</v>
      </c>
      <c r="E5" s="23">
        <v>174</v>
      </c>
      <c r="F5" s="23">
        <v>91</v>
      </c>
      <c r="G5" s="23">
        <v>83</v>
      </c>
      <c r="H5" s="23">
        <v>175</v>
      </c>
      <c r="I5" s="23">
        <v>88</v>
      </c>
      <c r="J5" s="23">
        <v>87</v>
      </c>
      <c r="K5" s="23">
        <v>189</v>
      </c>
      <c r="L5" s="23">
        <v>93</v>
      </c>
      <c r="M5" s="23">
        <v>96</v>
      </c>
      <c r="N5" s="23">
        <v>178</v>
      </c>
      <c r="O5" s="23">
        <v>85</v>
      </c>
      <c r="P5" s="23">
        <v>93</v>
      </c>
      <c r="Q5" s="23">
        <v>124</v>
      </c>
      <c r="R5" s="23">
        <v>52</v>
      </c>
      <c r="S5" s="23">
        <v>72</v>
      </c>
      <c r="T5" s="23">
        <v>106</v>
      </c>
      <c r="U5" s="23">
        <v>35</v>
      </c>
      <c r="V5" s="23">
        <v>71</v>
      </c>
      <c r="W5" s="23">
        <v>133</v>
      </c>
      <c r="X5" s="23">
        <v>46</v>
      </c>
      <c r="Y5" s="23">
        <v>87</v>
      </c>
      <c r="Z5" s="23">
        <v>116</v>
      </c>
      <c r="AA5" s="23">
        <v>49</v>
      </c>
      <c r="AB5" s="23">
        <v>67</v>
      </c>
      <c r="AC5" s="23">
        <v>120</v>
      </c>
      <c r="AD5" s="23">
        <v>51</v>
      </c>
      <c r="AE5" s="23">
        <v>69</v>
      </c>
      <c r="AF5" s="23">
        <v>122</v>
      </c>
      <c r="AG5" s="23">
        <v>53</v>
      </c>
      <c r="AH5" s="23">
        <v>69</v>
      </c>
      <c r="AI5" s="23">
        <v>103</v>
      </c>
      <c r="AJ5" s="23">
        <v>50</v>
      </c>
      <c r="AK5" s="23">
        <v>53</v>
      </c>
      <c r="AL5" s="23">
        <v>108</v>
      </c>
      <c r="AM5" s="23">
        <v>48</v>
      </c>
      <c r="AN5" s="23">
        <v>60</v>
      </c>
      <c r="AO5" s="23">
        <v>107</v>
      </c>
      <c r="AP5" s="23">
        <v>52</v>
      </c>
      <c r="AQ5" s="23">
        <v>55</v>
      </c>
      <c r="AR5" s="23">
        <v>88</v>
      </c>
      <c r="AS5" s="23">
        <v>44</v>
      </c>
      <c r="AT5" s="23">
        <v>44</v>
      </c>
      <c r="AU5" s="23">
        <v>68</v>
      </c>
      <c r="AV5" s="23">
        <v>35</v>
      </c>
      <c r="AW5" s="23">
        <v>33</v>
      </c>
      <c r="AX5" s="23">
        <v>59</v>
      </c>
      <c r="AY5" s="23">
        <v>26</v>
      </c>
      <c r="AZ5" s="23">
        <v>33</v>
      </c>
      <c r="BA5" s="23">
        <v>34</v>
      </c>
      <c r="BB5" s="23">
        <v>16</v>
      </c>
      <c r="BC5" s="23">
        <v>18</v>
      </c>
      <c r="BD5" s="23">
        <v>13</v>
      </c>
      <c r="BE5" s="23">
        <v>6</v>
      </c>
      <c r="BF5" s="23">
        <v>7</v>
      </c>
      <c r="BG5" s="23">
        <v>3</v>
      </c>
      <c r="BH5" s="23">
        <v>1</v>
      </c>
      <c r="BI5" s="23">
        <v>2</v>
      </c>
      <c r="BJ5" s="23">
        <v>0</v>
      </c>
      <c r="BK5" s="23">
        <v>0</v>
      </c>
      <c r="BL5" s="23">
        <v>0</v>
      </c>
    </row>
    <row r="6" spans="1:64" ht="14.25" customHeight="1" x14ac:dyDescent="0.55000000000000004">
      <c r="A6" s="21">
        <v>3</v>
      </c>
      <c r="B6" s="21">
        <v>2366</v>
      </c>
      <c r="C6" s="21">
        <f t="shared" ref="C6:D6" si="2">SUM(F6,I6,L6,O6,R6,U6,X6,AA6,AD6,AG6,AJ6,AM6,AP6,AS6,AV6,AY6,BB6,BE6,BH6,BK6)</f>
        <v>1037</v>
      </c>
      <c r="D6" s="21">
        <f t="shared" si="2"/>
        <v>1329</v>
      </c>
      <c r="E6" s="21">
        <v>212</v>
      </c>
      <c r="F6" s="21">
        <v>111</v>
      </c>
      <c r="G6" s="21">
        <v>101</v>
      </c>
      <c r="H6" s="21">
        <v>239</v>
      </c>
      <c r="I6" s="21">
        <v>125</v>
      </c>
      <c r="J6" s="21">
        <v>114</v>
      </c>
      <c r="K6" s="21">
        <v>261</v>
      </c>
      <c r="L6" s="21">
        <v>133</v>
      </c>
      <c r="M6" s="21">
        <v>128</v>
      </c>
      <c r="N6" s="21">
        <v>219</v>
      </c>
      <c r="O6" s="21">
        <v>103</v>
      </c>
      <c r="P6" s="21">
        <v>116</v>
      </c>
      <c r="Q6" s="21">
        <v>135</v>
      </c>
      <c r="R6" s="21">
        <v>48</v>
      </c>
      <c r="S6" s="21">
        <v>87</v>
      </c>
      <c r="T6" s="21">
        <v>120</v>
      </c>
      <c r="U6" s="21">
        <v>36</v>
      </c>
      <c r="V6" s="21">
        <v>84</v>
      </c>
      <c r="W6" s="21">
        <v>153</v>
      </c>
      <c r="X6" s="21">
        <v>46</v>
      </c>
      <c r="Y6" s="21">
        <v>107</v>
      </c>
      <c r="Z6" s="21">
        <v>147</v>
      </c>
      <c r="AA6" s="21">
        <v>49</v>
      </c>
      <c r="AB6" s="21">
        <v>98</v>
      </c>
      <c r="AC6" s="21">
        <v>116</v>
      </c>
      <c r="AD6" s="21">
        <v>45</v>
      </c>
      <c r="AE6" s="21">
        <v>71</v>
      </c>
      <c r="AF6" s="21">
        <v>102</v>
      </c>
      <c r="AG6" s="21">
        <v>42</v>
      </c>
      <c r="AH6" s="21">
        <v>60</v>
      </c>
      <c r="AI6" s="21">
        <v>110</v>
      </c>
      <c r="AJ6" s="21">
        <v>47</v>
      </c>
      <c r="AK6" s="21">
        <v>63</v>
      </c>
      <c r="AL6" s="21">
        <v>110</v>
      </c>
      <c r="AM6" s="21">
        <v>49</v>
      </c>
      <c r="AN6" s="21">
        <v>61</v>
      </c>
      <c r="AO6" s="21">
        <v>130</v>
      </c>
      <c r="AP6" s="21">
        <v>56</v>
      </c>
      <c r="AQ6" s="21">
        <v>74</v>
      </c>
      <c r="AR6" s="21">
        <v>112</v>
      </c>
      <c r="AS6" s="21">
        <v>56</v>
      </c>
      <c r="AT6" s="21">
        <v>56</v>
      </c>
      <c r="AU6" s="21">
        <v>78</v>
      </c>
      <c r="AV6" s="21">
        <v>39</v>
      </c>
      <c r="AW6" s="21">
        <v>39</v>
      </c>
      <c r="AX6" s="21">
        <v>67</v>
      </c>
      <c r="AY6" s="21">
        <v>32</v>
      </c>
      <c r="AZ6" s="21">
        <v>35</v>
      </c>
      <c r="BA6" s="21">
        <v>32</v>
      </c>
      <c r="BB6" s="21">
        <v>12</v>
      </c>
      <c r="BC6" s="21">
        <v>20</v>
      </c>
      <c r="BD6" s="21">
        <v>15</v>
      </c>
      <c r="BE6" s="21">
        <v>5</v>
      </c>
      <c r="BF6" s="21">
        <v>10</v>
      </c>
      <c r="BG6" s="21">
        <v>8</v>
      </c>
      <c r="BH6" s="21">
        <v>3</v>
      </c>
      <c r="BI6" s="21">
        <v>5</v>
      </c>
      <c r="BJ6" s="21">
        <v>0</v>
      </c>
      <c r="BK6" s="21">
        <v>0</v>
      </c>
      <c r="BL6" s="21">
        <v>0</v>
      </c>
    </row>
    <row r="7" spans="1:64" ht="14.25" customHeight="1" x14ac:dyDescent="0.55000000000000004">
      <c r="A7" s="23">
        <v>4</v>
      </c>
      <c r="B7" s="23">
        <v>2157</v>
      </c>
      <c r="C7" s="23">
        <f t="shared" ref="C7:D7" si="3">SUM(F7,I7,L7,O7,R7,U7,X7,AA7,AD7,AG7,AJ7,AM7,AP7,AS7,AV7,AY7,BB7,BE7,BH7,BK7)</f>
        <v>968</v>
      </c>
      <c r="D7" s="23">
        <f t="shared" si="3"/>
        <v>1189</v>
      </c>
      <c r="E7" s="23">
        <v>190</v>
      </c>
      <c r="F7" s="23">
        <v>100</v>
      </c>
      <c r="G7" s="23">
        <v>90</v>
      </c>
      <c r="H7" s="23">
        <v>159</v>
      </c>
      <c r="I7" s="23">
        <v>82</v>
      </c>
      <c r="J7" s="23">
        <v>77</v>
      </c>
      <c r="K7" s="23">
        <v>173</v>
      </c>
      <c r="L7" s="23">
        <v>89</v>
      </c>
      <c r="M7" s="23">
        <v>84</v>
      </c>
      <c r="N7" s="23">
        <v>174</v>
      </c>
      <c r="O7" s="23">
        <v>78</v>
      </c>
      <c r="P7" s="23">
        <v>96</v>
      </c>
      <c r="Q7" s="23">
        <v>147</v>
      </c>
      <c r="R7" s="23">
        <v>52</v>
      </c>
      <c r="S7" s="23">
        <v>95</v>
      </c>
      <c r="T7" s="23">
        <v>117</v>
      </c>
      <c r="U7" s="23">
        <v>39</v>
      </c>
      <c r="V7" s="23">
        <v>78</v>
      </c>
      <c r="W7" s="23">
        <v>118</v>
      </c>
      <c r="X7" s="23">
        <v>45</v>
      </c>
      <c r="Y7" s="23">
        <v>73</v>
      </c>
      <c r="Z7" s="23">
        <v>128</v>
      </c>
      <c r="AA7" s="23">
        <v>48</v>
      </c>
      <c r="AB7" s="23">
        <v>80</v>
      </c>
      <c r="AC7" s="23">
        <v>118</v>
      </c>
      <c r="AD7" s="23">
        <v>46</v>
      </c>
      <c r="AE7" s="23">
        <v>72</v>
      </c>
      <c r="AF7" s="23">
        <v>121</v>
      </c>
      <c r="AG7" s="23">
        <v>55</v>
      </c>
      <c r="AH7" s="23">
        <v>66</v>
      </c>
      <c r="AI7" s="23">
        <v>121</v>
      </c>
      <c r="AJ7" s="23">
        <v>54</v>
      </c>
      <c r="AK7" s="23">
        <v>67</v>
      </c>
      <c r="AL7" s="23">
        <v>125</v>
      </c>
      <c r="AM7" s="23">
        <v>55</v>
      </c>
      <c r="AN7" s="23">
        <v>70</v>
      </c>
      <c r="AO7" s="23">
        <v>129</v>
      </c>
      <c r="AP7" s="23">
        <v>62</v>
      </c>
      <c r="AQ7" s="23">
        <v>67</v>
      </c>
      <c r="AR7" s="23">
        <v>130</v>
      </c>
      <c r="AS7" s="23">
        <v>67</v>
      </c>
      <c r="AT7" s="23">
        <v>63</v>
      </c>
      <c r="AU7" s="23">
        <v>90</v>
      </c>
      <c r="AV7" s="23">
        <v>45</v>
      </c>
      <c r="AW7" s="23">
        <v>45</v>
      </c>
      <c r="AX7" s="23">
        <v>61</v>
      </c>
      <c r="AY7" s="23">
        <v>31</v>
      </c>
      <c r="AZ7" s="23">
        <v>30</v>
      </c>
      <c r="BA7" s="23">
        <v>33</v>
      </c>
      <c r="BB7" s="23">
        <v>12</v>
      </c>
      <c r="BC7" s="23">
        <v>21</v>
      </c>
      <c r="BD7" s="23">
        <v>11</v>
      </c>
      <c r="BE7" s="23">
        <v>5</v>
      </c>
      <c r="BF7" s="23">
        <v>6</v>
      </c>
      <c r="BG7" s="23">
        <v>11</v>
      </c>
      <c r="BH7" s="23">
        <v>3</v>
      </c>
      <c r="BI7" s="23">
        <v>8</v>
      </c>
      <c r="BJ7" s="23">
        <v>1</v>
      </c>
      <c r="BK7" s="23">
        <v>0</v>
      </c>
      <c r="BL7" s="23">
        <v>1</v>
      </c>
    </row>
    <row r="8" spans="1:64" ht="14.25" customHeight="1" x14ac:dyDescent="0.55000000000000004">
      <c r="A8" s="21">
        <v>5</v>
      </c>
      <c r="B8" s="21">
        <v>2428</v>
      </c>
      <c r="C8" s="21">
        <f t="shared" ref="C8:D8" si="4">SUM(F8,I8,L8,O8,R8,U8,X8,AA8,AD8,AG8,AJ8,AM8,AP8,AS8,AV8,AY8,BB8,BE8,BH8,BK8)</f>
        <v>1105</v>
      </c>
      <c r="D8" s="21">
        <f t="shared" si="4"/>
        <v>1323</v>
      </c>
      <c r="E8" s="21">
        <v>219</v>
      </c>
      <c r="F8" s="21">
        <v>114</v>
      </c>
      <c r="G8" s="21">
        <v>105</v>
      </c>
      <c r="H8" s="21">
        <v>230</v>
      </c>
      <c r="I8" s="21">
        <v>117</v>
      </c>
      <c r="J8" s="21">
        <v>113</v>
      </c>
      <c r="K8" s="21">
        <v>223</v>
      </c>
      <c r="L8" s="21">
        <v>107</v>
      </c>
      <c r="M8" s="21">
        <v>116</v>
      </c>
      <c r="N8" s="21">
        <v>207</v>
      </c>
      <c r="O8" s="21">
        <v>94</v>
      </c>
      <c r="P8" s="21">
        <v>113</v>
      </c>
      <c r="Q8" s="21">
        <v>191</v>
      </c>
      <c r="R8" s="21">
        <v>78</v>
      </c>
      <c r="S8" s="21">
        <v>113</v>
      </c>
      <c r="T8" s="21">
        <v>144</v>
      </c>
      <c r="U8" s="21">
        <v>58</v>
      </c>
      <c r="V8" s="21">
        <v>86</v>
      </c>
      <c r="W8" s="21">
        <v>150</v>
      </c>
      <c r="X8" s="21">
        <v>58</v>
      </c>
      <c r="Y8" s="21">
        <v>92</v>
      </c>
      <c r="Z8" s="21">
        <v>130</v>
      </c>
      <c r="AA8" s="21">
        <v>58</v>
      </c>
      <c r="AB8" s="21">
        <v>72</v>
      </c>
      <c r="AC8" s="21">
        <v>153</v>
      </c>
      <c r="AD8" s="21">
        <v>69</v>
      </c>
      <c r="AE8" s="21">
        <v>84</v>
      </c>
      <c r="AF8" s="21">
        <v>142</v>
      </c>
      <c r="AG8" s="21">
        <v>62</v>
      </c>
      <c r="AH8" s="21">
        <v>80</v>
      </c>
      <c r="AI8" s="21">
        <v>129</v>
      </c>
      <c r="AJ8" s="21">
        <v>58</v>
      </c>
      <c r="AK8" s="21">
        <v>71</v>
      </c>
      <c r="AL8" s="21">
        <v>126</v>
      </c>
      <c r="AM8" s="21">
        <v>64</v>
      </c>
      <c r="AN8" s="21">
        <v>62</v>
      </c>
      <c r="AO8" s="21">
        <v>100</v>
      </c>
      <c r="AP8" s="21">
        <v>44</v>
      </c>
      <c r="AQ8" s="21">
        <v>56</v>
      </c>
      <c r="AR8" s="21">
        <v>102</v>
      </c>
      <c r="AS8" s="21">
        <v>47</v>
      </c>
      <c r="AT8" s="21">
        <v>55</v>
      </c>
      <c r="AU8" s="21">
        <v>71</v>
      </c>
      <c r="AV8" s="21">
        <v>29</v>
      </c>
      <c r="AW8" s="21">
        <v>42</v>
      </c>
      <c r="AX8" s="21">
        <v>58</v>
      </c>
      <c r="AY8" s="21">
        <v>25</v>
      </c>
      <c r="AZ8" s="21">
        <v>33</v>
      </c>
      <c r="BA8" s="21">
        <v>36</v>
      </c>
      <c r="BB8" s="21">
        <v>16</v>
      </c>
      <c r="BC8" s="21">
        <v>20</v>
      </c>
      <c r="BD8" s="21">
        <v>11</v>
      </c>
      <c r="BE8" s="21">
        <v>5</v>
      </c>
      <c r="BF8" s="21">
        <v>6</v>
      </c>
      <c r="BG8" s="21">
        <v>6</v>
      </c>
      <c r="BH8" s="21">
        <v>2</v>
      </c>
      <c r="BI8" s="21">
        <v>4</v>
      </c>
      <c r="BJ8" s="21">
        <v>0</v>
      </c>
      <c r="BK8" s="21">
        <v>0</v>
      </c>
      <c r="BL8" s="21">
        <v>0</v>
      </c>
    </row>
    <row r="9" spans="1:64" ht="14.25" customHeight="1" x14ac:dyDescent="0.55000000000000004">
      <c r="A9" s="21">
        <v>6</v>
      </c>
      <c r="B9" s="21">
        <v>1516</v>
      </c>
      <c r="C9" s="21">
        <f t="shared" ref="C9:D9" si="5">SUM(F9,I9,L9,O9,R9,U9,X9,AA9,AD9,AG9,AJ9,AM9,AP9,AS9,AV9,AY9,BB9,BE9,BH9,BK9)</f>
        <v>691</v>
      </c>
      <c r="D9" s="21">
        <f t="shared" si="5"/>
        <v>825</v>
      </c>
      <c r="E9" s="21">
        <v>135</v>
      </c>
      <c r="F9" s="21">
        <v>70</v>
      </c>
      <c r="G9" s="21">
        <v>65</v>
      </c>
      <c r="H9" s="21">
        <v>117</v>
      </c>
      <c r="I9" s="21">
        <v>62</v>
      </c>
      <c r="J9" s="21">
        <v>55</v>
      </c>
      <c r="K9" s="21">
        <v>121</v>
      </c>
      <c r="L9" s="21">
        <v>60</v>
      </c>
      <c r="M9" s="21">
        <v>61</v>
      </c>
      <c r="N9" s="21">
        <v>120</v>
      </c>
      <c r="O9" s="21">
        <v>56</v>
      </c>
      <c r="P9" s="21">
        <v>64</v>
      </c>
      <c r="Q9" s="21">
        <v>115</v>
      </c>
      <c r="R9" s="21">
        <v>44</v>
      </c>
      <c r="S9" s="21">
        <v>71</v>
      </c>
      <c r="T9" s="21">
        <v>90</v>
      </c>
      <c r="U9" s="21">
        <v>34</v>
      </c>
      <c r="V9" s="21">
        <v>56</v>
      </c>
      <c r="W9" s="21">
        <v>79</v>
      </c>
      <c r="X9" s="21">
        <v>32</v>
      </c>
      <c r="Y9" s="21">
        <v>47</v>
      </c>
      <c r="Z9" s="21">
        <v>87</v>
      </c>
      <c r="AA9" s="21">
        <v>44</v>
      </c>
      <c r="AB9" s="21">
        <v>43</v>
      </c>
      <c r="AC9" s="21">
        <v>90</v>
      </c>
      <c r="AD9" s="21">
        <v>38</v>
      </c>
      <c r="AE9" s="21">
        <v>52</v>
      </c>
      <c r="AF9" s="21">
        <v>81</v>
      </c>
      <c r="AG9" s="21">
        <v>37</v>
      </c>
      <c r="AH9" s="21">
        <v>44</v>
      </c>
      <c r="AI9" s="21">
        <v>70</v>
      </c>
      <c r="AJ9" s="21">
        <v>32</v>
      </c>
      <c r="AK9" s="21">
        <v>38</v>
      </c>
      <c r="AL9" s="21">
        <v>93</v>
      </c>
      <c r="AM9" s="21">
        <v>37</v>
      </c>
      <c r="AN9" s="21">
        <v>56</v>
      </c>
      <c r="AO9" s="21">
        <v>72</v>
      </c>
      <c r="AP9" s="21">
        <v>31</v>
      </c>
      <c r="AQ9" s="21">
        <v>41</v>
      </c>
      <c r="AR9" s="21">
        <v>87</v>
      </c>
      <c r="AS9" s="21">
        <v>39</v>
      </c>
      <c r="AT9" s="21">
        <v>48</v>
      </c>
      <c r="AU9" s="21">
        <v>70</v>
      </c>
      <c r="AV9" s="21">
        <v>33</v>
      </c>
      <c r="AW9" s="21">
        <v>37</v>
      </c>
      <c r="AX9" s="21">
        <v>50</v>
      </c>
      <c r="AY9" s="21">
        <v>24</v>
      </c>
      <c r="AZ9" s="21">
        <v>26</v>
      </c>
      <c r="BA9" s="21">
        <v>23</v>
      </c>
      <c r="BB9" s="21">
        <v>11</v>
      </c>
      <c r="BC9" s="21">
        <v>12</v>
      </c>
      <c r="BD9" s="21">
        <v>10</v>
      </c>
      <c r="BE9" s="21">
        <v>5</v>
      </c>
      <c r="BF9" s="21">
        <v>5</v>
      </c>
      <c r="BG9" s="21">
        <v>6</v>
      </c>
      <c r="BH9" s="21">
        <v>2</v>
      </c>
      <c r="BI9" s="21">
        <v>4</v>
      </c>
      <c r="BJ9" s="21">
        <v>0</v>
      </c>
      <c r="BK9" s="21">
        <v>0</v>
      </c>
      <c r="BL9" s="21">
        <v>0</v>
      </c>
    </row>
    <row r="10" spans="1:64" ht="14.25" customHeight="1" x14ac:dyDescent="0.55000000000000004"/>
    <row r="11" spans="1:64" ht="14.25" customHeight="1" x14ac:dyDescent="0.55000000000000004">
      <c r="A11" s="23" t="s">
        <v>121</v>
      </c>
      <c r="B11" s="23">
        <f t="shared" ref="B11:D11" si="6">SUM(B5,B7)</f>
        <v>4177</v>
      </c>
      <c r="C11" s="23">
        <f t="shared" si="6"/>
        <v>1889</v>
      </c>
      <c r="D11" s="23">
        <f t="shared" si="6"/>
        <v>2288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</row>
    <row r="12" spans="1:64" ht="14.25" customHeight="1" x14ac:dyDescent="0.55000000000000004"/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B3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1.26171875" customWidth="1"/>
    <col min="2" max="64" width="10" customWidth="1"/>
  </cols>
  <sheetData>
    <row r="1" spans="1:64" ht="14.25" customHeight="1" x14ac:dyDescent="0.6">
      <c r="A1" s="56" t="s">
        <v>122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6" t="s">
        <v>12</v>
      </c>
      <c r="D2" s="6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55"/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2966</v>
      </c>
      <c r="C4" s="21">
        <f t="shared" ref="C4:D4" si="0">SUM(F4,I4,L4,O4,R4,U4,X4,AA4,AD4,AG4,AJ4,AM4,AP4,AS4,AV4,AY4,BB4,BE4,BH4,BK4)</f>
        <v>1414</v>
      </c>
      <c r="D4" s="21">
        <f t="shared" si="0"/>
        <v>1552</v>
      </c>
      <c r="E4" s="21">
        <v>259</v>
      </c>
      <c r="F4" s="21">
        <v>135</v>
      </c>
      <c r="G4" s="21">
        <v>124</v>
      </c>
      <c r="H4" s="21">
        <v>326</v>
      </c>
      <c r="I4" s="21">
        <v>158</v>
      </c>
      <c r="J4" s="21">
        <v>168</v>
      </c>
      <c r="K4" s="21">
        <v>282</v>
      </c>
      <c r="L4" s="21">
        <v>145</v>
      </c>
      <c r="M4" s="21">
        <v>137</v>
      </c>
      <c r="N4" s="21">
        <v>262</v>
      </c>
      <c r="O4" s="21">
        <v>131</v>
      </c>
      <c r="P4" s="21">
        <v>131</v>
      </c>
      <c r="Q4" s="21">
        <v>219</v>
      </c>
      <c r="R4" s="21">
        <v>95</v>
      </c>
      <c r="S4" s="21">
        <v>124</v>
      </c>
      <c r="T4" s="21">
        <v>182</v>
      </c>
      <c r="U4" s="21">
        <v>71</v>
      </c>
      <c r="V4" s="21">
        <v>111</v>
      </c>
      <c r="W4" s="21">
        <v>176</v>
      </c>
      <c r="X4" s="21">
        <v>71</v>
      </c>
      <c r="Y4" s="21">
        <v>105</v>
      </c>
      <c r="Z4" s="21">
        <v>151</v>
      </c>
      <c r="AA4" s="21">
        <v>72</v>
      </c>
      <c r="AB4" s="21">
        <v>79</v>
      </c>
      <c r="AC4" s="21">
        <v>167</v>
      </c>
      <c r="AD4" s="21">
        <v>79</v>
      </c>
      <c r="AE4" s="21">
        <v>88</v>
      </c>
      <c r="AF4" s="21">
        <v>136</v>
      </c>
      <c r="AG4" s="21">
        <v>61</v>
      </c>
      <c r="AH4" s="21">
        <v>75</v>
      </c>
      <c r="AI4" s="21">
        <v>135</v>
      </c>
      <c r="AJ4" s="21">
        <v>61</v>
      </c>
      <c r="AK4" s="21">
        <v>74</v>
      </c>
      <c r="AL4" s="21">
        <v>151</v>
      </c>
      <c r="AM4" s="21">
        <v>77</v>
      </c>
      <c r="AN4" s="21">
        <v>74</v>
      </c>
      <c r="AO4" s="21">
        <v>158</v>
      </c>
      <c r="AP4" s="21">
        <v>74</v>
      </c>
      <c r="AQ4" s="21">
        <v>84</v>
      </c>
      <c r="AR4" s="21">
        <v>121</v>
      </c>
      <c r="AS4" s="21">
        <v>64</v>
      </c>
      <c r="AT4" s="21">
        <v>57</v>
      </c>
      <c r="AU4" s="21">
        <v>97</v>
      </c>
      <c r="AV4" s="21">
        <v>50</v>
      </c>
      <c r="AW4" s="21">
        <v>47</v>
      </c>
      <c r="AX4" s="21">
        <v>75</v>
      </c>
      <c r="AY4" s="21">
        <v>40</v>
      </c>
      <c r="AZ4" s="21">
        <v>35</v>
      </c>
      <c r="BA4" s="21">
        <v>48</v>
      </c>
      <c r="BB4" s="21">
        <v>22</v>
      </c>
      <c r="BC4" s="21">
        <v>26</v>
      </c>
      <c r="BD4" s="21">
        <v>14</v>
      </c>
      <c r="BE4" s="21">
        <v>7</v>
      </c>
      <c r="BF4" s="21">
        <v>7</v>
      </c>
      <c r="BG4" s="21">
        <v>6</v>
      </c>
      <c r="BH4" s="21">
        <v>1</v>
      </c>
      <c r="BI4" s="21">
        <v>5</v>
      </c>
      <c r="BJ4" s="21">
        <v>1</v>
      </c>
      <c r="BK4" s="21">
        <v>0</v>
      </c>
      <c r="BL4" s="21">
        <v>1</v>
      </c>
    </row>
    <row r="5" spans="1:64" ht="14.25" customHeight="1" x14ac:dyDescent="0.55000000000000004">
      <c r="A5" s="21">
        <v>2</v>
      </c>
      <c r="B5" s="21">
        <v>2524</v>
      </c>
      <c r="C5" s="21">
        <f t="shared" ref="C5:D5" si="1">SUM(F5,I5,L5,O5,R5,U5,X5,AA5,AD5,AG5,AJ5,AM5,AP5,AS5,AV5,AY5,BB5,BE5,BH5,BK5)</f>
        <v>1163</v>
      </c>
      <c r="D5" s="21">
        <f t="shared" si="1"/>
        <v>1361</v>
      </c>
      <c r="E5" s="21">
        <v>236</v>
      </c>
      <c r="F5" s="21">
        <v>123</v>
      </c>
      <c r="G5" s="21">
        <v>113</v>
      </c>
      <c r="H5" s="21">
        <v>208</v>
      </c>
      <c r="I5" s="21">
        <v>107</v>
      </c>
      <c r="J5" s="21">
        <v>101</v>
      </c>
      <c r="K5" s="21">
        <v>213</v>
      </c>
      <c r="L5" s="21">
        <v>111</v>
      </c>
      <c r="M5" s="21">
        <v>102</v>
      </c>
      <c r="N5" s="21">
        <v>187</v>
      </c>
      <c r="O5" s="21">
        <v>91</v>
      </c>
      <c r="P5" s="21">
        <v>96</v>
      </c>
      <c r="Q5" s="21">
        <v>174</v>
      </c>
      <c r="R5" s="21">
        <v>71</v>
      </c>
      <c r="S5" s="21">
        <v>103</v>
      </c>
      <c r="T5" s="21">
        <v>141</v>
      </c>
      <c r="U5" s="21">
        <v>51</v>
      </c>
      <c r="V5" s="21">
        <v>90</v>
      </c>
      <c r="W5" s="21">
        <v>168</v>
      </c>
      <c r="X5" s="21">
        <v>57</v>
      </c>
      <c r="Y5" s="21">
        <v>111</v>
      </c>
      <c r="Z5" s="21">
        <v>163</v>
      </c>
      <c r="AA5" s="21">
        <v>65</v>
      </c>
      <c r="AB5" s="21">
        <v>98</v>
      </c>
      <c r="AC5" s="21">
        <v>169</v>
      </c>
      <c r="AD5" s="21">
        <v>64</v>
      </c>
      <c r="AE5" s="21">
        <v>105</v>
      </c>
      <c r="AF5" s="21">
        <v>172</v>
      </c>
      <c r="AG5" s="21">
        <v>80</v>
      </c>
      <c r="AH5" s="21">
        <v>92</v>
      </c>
      <c r="AI5" s="21">
        <v>139</v>
      </c>
      <c r="AJ5" s="21">
        <v>71</v>
      </c>
      <c r="AK5" s="21">
        <v>68</v>
      </c>
      <c r="AL5" s="21">
        <v>152</v>
      </c>
      <c r="AM5" s="21">
        <v>82</v>
      </c>
      <c r="AN5" s="21">
        <v>70</v>
      </c>
      <c r="AO5" s="21">
        <v>117</v>
      </c>
      <c r="AP5" s="21">
        <v>58</v>
      </c>
      <c r="AQ5" s="21">
        <v>59</v>
      </c>
      <c r="AR5" s="21">
        <v>107</v>
      </c>
      <c r="AS5" s="21">
        <v>48</v>
      </c>
      <c r="AT5" s="21">
        <v>59</v>
      </c>
      <c r="AU5" s="21">
        <v>82</v>
      </c>
      <c r="AV5" s="21">
        <v>42</v>
      </c>
      <c r="AW5" s="21">
        <v>40</v>
      </c>
      <c r="AX5" s="21">
        <v>50</v>
      </c>
      <c r="AY5" s="21">
        <v>22</v>
      </c>
      <c r="AZ5" s="21">
        <v>28</v>
      </c>
      <c r="BA5" s="21">
        <v>26</v>
      </c>
      <c r="BB5" s="21">
        <v>11</v>
      </c>
      <c r="BC5" s="21">
        <v>15</v>
      </c>
      <c r="BD5" s="21">
        <v>11</v>
      </c>
      <c r="BE5" s="21">
        <v>5</v>
      </c>
      <c r="BF5" s="21">
        <v>6</v>
      </c>
      <c r="BG5" s="21">
        <v>9</v>
      </c>
      <c r="BH5" s="21">
        <v>4</v>
      </c>
      <c r="BI5" s="21">
        <v>5</v>
      </c>
      <c r="BJ5" s="21">
        <v>0</v>
      </c>
      <c r="BK5" s="21">
        <v>0</v>
      </c>
      <c r="BL5" s="21">
        <v>0</v>
      </c>
    </row>
    <row r="6" spans="1:64" ht="14.25" customHeight="1" x14ac:dyDescent="0.55000000000000004">
      <c r="A6" s="21">
        <v>3</v>
      </c>
      <c r="B6" s="21">
        <v>2839</v>
      </c>
      <c r="C6" s="21">
        <f t="shared" ref="C6:D6" si="2">SUM(F6,I6,L6,O6,R6,U6,X6,AA6,AD6,AG6,AJ6,AM6,AP6,AS6,AV6,AY6,BB6,BE6,BH6,BK6)</f>
        <v>1333</v>
      </c>
      <c r="D6" s="21">
        <f t="shared" si="2"/>
        <v>1506</v>
      </c>
      <c r="E6" s="21">
        <v>258</v>
      </c>
      <c r="F6" s="21">
        <v>134</v>
      </c>
      <c r="G6" s="21">
        <v>124</v>
      </c>
      <c r="H6" s="21">
        <v>240</v>
      </c>
      <c r="I6" s="21">
        <v>123</v>
      </c>
      <c r="J6" s="21">
        <v>117</v>
      </c>
      <c r="K6" s="21">
        <v>224</v>
      </c>
      <c r="L6" s="21">
        <v>110</v>
      </c>
      <c r="M6" s="21">
        <v>114</v>
      </c>
      <c r="N6" s="21">
        <v>185</v>
      </c>
      <c r="O6" s="21">
        <v>80</v>
      </c>
      <c r="P6" s="21">
        <v>105</v>
      </c>
      <c r="Q6" s="21">
        <v>181</v>
      </c>
      <c r="R6" s="21">
        <v>79</v>
      </c>
      <c r="S6" s="21">
        <v>102</v>
      </c>
      <c r="T6" s="21">
        <v>181</v>
      </c>
      <c r="U6" s="21">
        <v>69</v>
      </c>
      <c r="V6" s="21">
        <v>112</v>
      </c>
      <c r="W6" s="21">
        <v>196</v>
      </c>
      <c r="X6" s="21">
        <v>81</v>
      </c>
      <c r="Y6" s="21">
        <v>115</v>
      </c>
      <c r="Z6" s="21">
        <v>171</v>
      </c>
      <c r="AA6" s="21">
        <v>74</v>
      </c>
      <c r="AB6" s="21">
        <v>97</v>
      </c>
      <c r="AC6" s="21">
        <v>173</v>
      </c>
      <c r="AD6" s="21">
        <v>71</v>
      </c>
      <c r="AE6" s="21">
        <v>102</v>
      </c>
      <c r="AF6" s="21">
        <v>161</v>
      </c>
      <c r="AG6" s="21">
        <v>79</v>
      </c>
      <c r="AH6" s="21">
        <v>82</v>
      </c>
      <c r="AI6" s="21">
        <v>163</v>
      </c>
      <c r="AJ6" s="21">
        <v>75</v>
      </c>
      <c r="AK6" s="21">
        <v>88</v>
      </c>
      <c r="AL6" s="21">
        <v>169</v>
      </c>
      <c r="AM6" s="21">
        <v>89</v>
      </c>
      <c r="AN6" s="21">
        <v>80</v>
      </c>
      <c r="AO6" s="21">
        <v>153</v>
      </c>
      <c r="AP6" s="21">
        <v>79</v>
      </c>
      <c r="AQ6" s="21">
        <v>74</v>
      </c>
      <c r="AR6" s="21">
        <v>152</v>
      </c>
      <c r="AS6" s="21">
        <v>62</v>
      </c>
      <c r="AT6" s="21">
        <v>90</v>
      </c>
      <c r="AU6" s="21">
        <v>111</v>
      </c>
      <c r="AV6" s="21">
        <v>61</v>
      </c>
      <c r="AW6" s="21">
        <v>50</v>
      </c>
      <c r="AX6" s="21">
        <v>66</v>
      </c>
      <c r="AY6" s="21">
        <v>33</v>
      </c>
      <c r="AZ6" s="21">
        <v>33</v>
      </c>
      <c r="BA6" s="21">
        <v>32</v>
      </c>
      <c r="BB6" s="21">
        <v>21</v>
      </c>
      <c r="BC6" s="21">
        <v>11</v>
      </c>
      <c r="BD6" s="21">
        <v>17</v>
      </c>
      <c r="BE6" s="21">
        <v>10</v>
      </c>
      <c r="BF6" s="21">
        <v>7</v>
      </c>
      <c r="BG6" s="21">
        <v>6</v>
      </c>
      <c r="BH6" s="21">
        <v>3</v>
      </c>
      <c r="BI6" s="21">
        <v>3</v>
      </c>
      <c r="BJ6" s="21">
        <v>0</v>
      </c>
      <c r="BK6" s="21">
        <v>0</v>
      </c>
      <c r="BL6" s="21">
        <v>0</v>
      </c>
    </row>
    <row r="7" spans="1:64" ht="14.25" customHeight="1" x14ac:dyDescent="0.55000000000000004">
      <c r="A7" s="21">
        <v>4</v>
      </c>
      <c r="B7" s="21">
        <v>1576</v>
      </c>
      <c r="C7" s="21">
        <f t="shared" ref="C7:D7" si="3">SUM(F7,I7,L7,O7,R7,U7,X7,AA7,AD7,AG7,AJ7,AM7,AP7,AS7,AV7,AY7,BB7,BE7,BH7,BK7)</f>
        <v>731</v>
      </c>
      <c r="D7" s="21">
        <f t="shared" si="3"/>
        <v>845</v>
      </c>
      <c r="E7" s="21">
        <v>147</v>
      </c>
      <c r="F7" s="21">
        <v>77</v>
      </c>
      <c r="G7" s="21">
        <v>70</v>
      </c>
      <c r="H7" s="21">
        <v>127</v>
      </c>
      <c r="I7" s="21">
        <v>54</v>
      </c>
      <c r="J7" s="21">
        <v>73</v>
      </c>
      <c r="K7" s="21">
        <v>119</v>
      </c>
      <c r="L7" s="21">
        <v>56</v>
      </c>
      <c r="M7" s="21">
        <v>63</v>
      </c>
      <c r="N7" s="21">
        <v>133</v>
      </c>
      <c r="O7" s="21">
        <v>62</v>
      </c>
      <c r="P7" s="21">
        <v>71</v>
      </c>
      <c r="Q7" s="21">
        <v>128</v>
      </c>
      <c r="R7" s="21">
        <v>55</v>
      </c>
      <c r="S7" s="21">
        <v>73</v>
      </c>
      <c r="T7" s="21">
        <v>112</v>
      </c>
      <c r="U7" s="21">
        <v>47</v>
      </c>
      <c r="V7" s="21">
        <v>65</v>
      </c>
      <c r="W7" s="21">
        <v>104</v>
      </c>
      <c r="X7" s="21">
        <v>45</v>
      </c>
      <c r="Y7" s="21">
        <v>59</v>
      </c>
      <c r="Z7" s="21">
        <v>73</v>
      </c>
      <c r="AA7" s="21">
        <v>31</v>
      </c>
      <c r="AB7" s="21">
        <v>42</v>
      </c>
      <c r="AC7" s="21">
        <v>87</v>
      </c>
      <c r="AD7" s="21">
        <v>42</v>
      </c>
      <c r="AE7" s="21">
        <v>45</v>
      </c>
      <c r="AF7" s="21">
        <v>79</v>
      </c>
      <c r="AG7" s="21">
        <v>37</v>
      </c>
      <c r="AH7" s="21">
        <v>42</v>
      </c>
      <c r="AI7" s="21">
        <v>79</v>
      </c>
      <c r="AJ7" s="21">
        <v>37</v>
      </c>
      <c r="AK7" s="21">
        <v>42</v>
      </c>
      <c r="AL7" s="21">
        <v>107</v>
      </c>
      <c r="AM7" s="21">
        <v>48</v>
      </c>
      <c r="AN7" s="21">
        <v>59</v>
      </c>
      <c r="AO7" s="21">
        <v>78</v>
      </c>
      <c r="AP7" s="21">
        <v>39</v>
      </c>
      <c r="AQ7" s="21">
        <v>39</v>
      </c>
      <c r="AR7" s="21">
        <v>80</v>
      </c>
      <c r="AS7" s="21">
        <v>44</v>
      </c>
      <c r="AT7" s="21">
        <v>36</v>
      </c>
      <c r="AU7" s="21">
        <v>66</v>
      </c>
      <c r="AV7" s="21">
        <v>32</v>
      </c>
      <c r="AW7" s="21">
        <v>34</v>
      </c>
      <c r="AX7" s="21">
        <v>30</v>
      </c>
      <c r="AY7" s="21">
        <v>14</v>
      </c>
      <c r="AZ7" s="21">
        <v>16</v>
      </c>
      <c r="BA7" s="21">
        <v>22</v>
      </c>
      <c r="BB7" s="21">
        <v>9</v>
      </c>
      <c r="BC7" s="21">
        <v>13</v>
      </c>
      <c r="BD7" s="21">
        <v>5</v>
      </c>
      <c r="BE7" s="21">
        <v>2</v>
      </c>
      <c r="BF7" s="21">
        <v>3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</row>
    <row r="8" spans="1:64" ht="14.25" customHeight="1" x14ac:dyDescent="0.55000000000000004">
      <c r="A8" s="23">
        <v>5</v>
      </c>
      <c r="B8" s="23">
        <v>3095</v>
      </c>
      <c r="C8" s="23">
        <f t="shared" ref="C8:D8" si="4">SUM(F8,I8,L8,O8,R8,U8,X8,AA8,AD8,AG8,AJ8,AM8,AP8,AS8,AV8,AY8,BB8,BE8,BH8,BK8)</f>
        <v>1468</v>
      </c>
      <c r="D8" s="23">
        <f t="shared" si="4"/>
        <v>1627</v>
      </c>
      <c r="E8" s="23">
        <v>272</v>
      </c>
      <c r="F8" s="23">
        <v>142</v>
      </c>
      <c r="G8" s="23">
        <v>130</v>
      </c>
      <c r="H8" s="23">
        <v>279</v>
      </c>
      <c r="I8" s="23">
        <v>151</v>
      </c>
      <c r="J8" s="23">
        <v>128</v>
      </c>
      <c r="K8" s="23">
        <v>296</v>
      </c>
      <c r="L8" s="23">
        <v>153</v>
      </c>
      <c r="M8" s="23">
        <v>143</v>
      </c>
      <c r="N8" s="23">
        <v>200</v>
      </c>
      <c r="O8" s="23">
        <v>106</v>
      </c>
      <c r="P8" s="23">
        <v>94</v>
      </c>
      <c r="Q8" s="23">
        <v>174</v>
      </c>
      <c r="R8" s="23">
        <v>79</v>
      </c>
      <c r="S8" s="23">
        <v>95</v>
      </c>
      <c r="T8" s="23">
        <v>188</v>
      </c>
      <c r="U8" s="23">
        <v>73</v>
      </c>
      <c r="V8" s="23">
        <v>115</v>
      </c>
      <c r="W8" s="23">
        <v>206</v>
      </c>
      <c r="X8" s="23">
        <v>73</v>
      </c>
      <c r="Y8" s="23">
        <v>133</v>
      </c>
      <c r="Z8" s="23">
        <v>212</v>
      </c>
      <c r="AA8" s="23">
        <v>89</v>
      </c>
      <c r="AB8" s="23">
        <v>123</v>
      </c>
      <c r="AC8" s="23">
        <v>208</v>
      </c>
      <c r="AD8" s="23">
        <v>99</v>
      </c>
      <c r="AE8" s="23">
        <v>109</v>
      </c>
      <c r="AF8" s="23">
        <v>193</v>
      </c>
      <c r="AG8" s="23">
        <v>84</v>
      </c>
      <c r="AH8" s="23">
        <v>109</v>
      </c>
      <c r="AI8" s="23">
        <v>173</v>
      </c>
      <c r="AJ8" s="23">
        <v>80</v>
      </c>
      <c r="AK8" s="23">
        <v>93</v>
      </c>
      <c r="AL8" s="23">
        <v>170</v>
      </c>
      <c r="AM8" s="23">
        <v>91</v>
      </c>
      <c r="AN8" s="23">
        <v>79</v>
      </c>
      <c r="AO8" s="23">
        <v>138</v>
      </c>
      <c r="AP8" s="23">
        <v>69</v>
      </c>
      <c r="AQ8" s="23">
        <v>69</v>
      </c>
      <c r="AR8" s="23">
        <v>134</v>
      </c>
      <c r="AS8" s="23">
        <v>60</v>
      </c>
      <c r="AT8" s="23">
        <v>74</v>
      </c>
      <c r="AU8" s="23">
        <v>105</v>
      </c>
      <c r="AV8" s="23">
        <v>53</v>
      </c>
      <c r="AW8" s="23">
        <v>52</v>
      </c>
      <c r="AX8" s="23">
        <v>82</v>
      </c>
      <c r="AY8" s="23">
        <v>39</v>
      </c>
      <c r="AZ8" s="23">
        <v>43</v>
      </c>
      <c r="BA8" s="23">
        <v>39</v>
      </c>
      <c r="BB8" s="23">
        <v>17</v>
      </c>
      <c r="BC8" s="23">
        <v>22</v>
      </c>
      <c r="BD8" s="23">
        <v>17</v>
      </c>
      <c r="BE8" s="23">
        <v>8</v>
      </c>
      <c r="BF8" s="23">
        <v>9</v>
      </c>
      <c r="BG8" s="23">
        <v>7</v>
      </c>
      <c r="BH8" s="23">
        <v>2</v>
      </c>
      <c r="BI8" s="23">
        <v>5</v>
      </c>
      <c r="BJ8" s="23">
        <v>2</v>
      </c>
      <c r="BK8" s="23">
        <v>0</v>
      </c>
      <c r="BL8" s="23">
        <v>2</v>
      </c>
    </row>
    <row r="9" spans="1:64" ht="14.25" customHeight="1" x14ac:dyDescent="0.55000000000000004"/>
    <row r="10" spans="1:64" ht="14.25" customHeight="1" x14ac:dyDescent="0.55000000000000004">
      <c r="A10" s="21" t="s">
        <v>124</v>
      </c>
    </row>
    <row r="11" spans="1:64" ht="14.25" customHeight="1" x14ac:dyDescent="0.55000000000000004"/>
    <row r="12" spans="1:64" ht="14.25" customHeight="1" x14ac:dyDescent="0.55000000000000004"/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B3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5.26171875" customWidth="1"/>
    <col min="2" max="64" width="10" customWidth="1"/>
  </cols>
  <sheetData>
    <row r="1" spans="1:64" ht="14.25" customHeight="1" x14ac:dyDescent="0.6">
      <c r="A1" s="56" t="s">
        <v>123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125</v>
      </c>
      <c r="D3" s="6" t="s">
        <v>117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3">
        <v>1</v>
      </c>
      <c r="B4" s="23">
        <v>2951</v>
      </c>
      <c r="C4" s="23">
        <f t="shared" ref="C4:D4" si="0">SUM(F4,I4,L4,O4,R4,U4,X4,AA4,AD4,AG4,AJ4,AM4,AP4,AS4,AV4,AY4,BB4,BE4,BH4,BK4)</f>
        <v>1376</v>
      </c>
      <c r="D4" s="23">
        <f t="shared" si="0"/>
        <v>1575</v>
      </c>
      <c r="E4" s="23">
        <v>231</v>
      </c>
      <c r="F4" s="23">
        <v>120</v>
      </c>
      <c r="G4" s="23">
        <v>111</v>
      </c>
      <c r="H4" s="23">
        <v>229</v>
      </c>
      <c r="I4" s="23">
        <v>119</v>
      </c>
      <c r="J4" s="23">
        <v>110</v>
      </c>
      <c r="K4" s="23">
        <v>270</v>
      </c>
      <c r="L4" s="23">
        <v>148</v>
      </c>
      <c r="M4" s="23">
        <v>122</v>
      </c>
      <c r="N4" s="23">
        <v>258</v>
      </c>
      <c r="O4" s="23">
        <v>135</v>
      </c>
      <c r="P4" s="23">
        <v>123</v>
      </c>
      <c r="Q4" s="23">
        <v>242</v>
      </c>
      <c r="R4" s="23">
        <v>112</v>
      </c>
      <c r="S4" s="23">
        <v>130</v>
      </c>
      <c r="T4" s="23">
        <v>188</v>
      </c>
      <c r="U4" s="23">
        <v>77</v>
      </c>
      <c r="V4" s="23">
        <v>111</v>
      </c>
      <c r="W4" s="23">
        <v>232</v>
      </c>
      <c r="X4" s="23">
        <v>75</v>
      </c>
      <c r="Y4" s="23">
        <v>157</v>
      </c>
      <c r="Z4" s="23">
        <v>263</v>
      </c>
      <c r="AA4" s="23">
        <v>102</v>
      </c>
      <c r="AB4" s="23">
        <v>161</v>
      </c>
      <c r="AC4" s="23">
        <v>243</v>
      </c>
      <c r="AD4" s="23">
        <v>108</v>
      </c>
      <c r="AE4" s="23">
        <v>135</v>
      </c>
      <c r="AF4" s="23">
        <v>188</v>
      </c>
      <c r="AG4" s="23">
        <v>93</v>
      </c>
      <c r="AH4" s="23">
        <v>95</v>
      </c>
      <c r="AI4" s="23">
        <v>142</v>
      </c>
      <c r="AJ4" s="23">
        <v>72</v>
      </c>
      <c r="AK4" s="23">
        <v>70</v>
      </c>
      <c r="AL4" s="23">
        <v>108</v>
      </c>
      <c r="AM4" s="23">
        <v>52</v>
      </c>
      <c r="AN4" s="23">
        <v>56</v>
      </c>
      <c r="AO4" s="23">
        <v>101</v>
      </c>
      <c r="AP4" s="23">
        <v>47</v>
      </c>
      <c r="AQ4" s="23">
        <v>54</v>
      </c>
      <c r="AR4" s="23">
        <v>99</v>
      </c>
      <c r="AS4" s="23">
        <v>45</v>
      </c>
      <c r="AT4" s="23">
        <v>54</v>
      </c>
      <c r="AU4" s="23">
        <v>68</v>
      </c>
      <c r="AV4" s="23">
        <v>31</v>
      </c>
      <c r="AW4" s="23">
        <v>37</v>
      </c>
      <c r="AX4" s="23">
        <v>48</v>
      </c>
      <c r="AY4" s="23">
        <v>20</v>
      </c>
      <c r="AZ4" s="23">
        <v>28</v>
      </c>
      <c r="BA4" s="23">
        <v>25</v>
      </c>
      <c r="BB4" s="23">
        <v>13</v>
      </c>
      <c r="BC4" s="23">
        <v>12</v>
      </c>
      <c r="BD4" s="23">
        <v>9</v>
      </c>
      <c r="BE4" s="23">
        <v>5</v>
      </c>
      <c r="BF4" s="23">
        <v>4</v>
      </c>
      <c r="BG4" s="23">
        <v>6</v>
      </c>
      <c r="BH4" s="23">
        <v>2</v>
      </c>
      <c r="BI4" s="23">
        <v>4</v>
      </c>
      <c r="BJ4" s="23">
        <v>1</v>
      </c>
      <c r="BK4" s="23">
        <v>0</v>
      </c>
      <c r="BL4" s="23">
        <v>1</v>
      </c>
    </row>
    <row r="5" spans="1:64" ht="14.25" customHeight="1" x14ac:dyDescent="0.55000000000000004">
      <c r="A5" s="43">
        <v>2</v>
      </c>
      <c r="B5" s="43">
        <v>5303</v>
      </c>
      <c r="C5" s="23">
        <f t="shared" ref="C5:D5" si="1">SUM(F5,I5,L5,O5,R5,U5,X5,AA5,AD5,AG5,AJ5,AM5,AP5,AS5,AV5,AY5,BB5,BE5,BH5,BK5)</f>
        <v>2538</v>
      </c>
      <c r="D5" s="23">
        <f t="shared" si="1"/>
        <v>2765</v>
      </c>
      <c r="E5" s="43">
        <v>405</v>
      </c>
      <c r="F5" s="43">
        <v>211</v>
      </c>
      <c r="G5" s="43">
        <v>194</v>
      </c>
      <c r="H5" s="43">
        <v>399</v>
      </c>
      <c r="I5" s="43">
        <v>222</v>
      </c>
      <c r="J5" s="43">
        <v>177</v>
      </c>
      <c r="K5" s="43">
        <v>462</v>
      </c>
      <c r="L5" s="43">
        <v>257</v>
      </c>
      <c r="M5" s="43">
        <v>205</v>
      </c>
      <c r="N5" s="43">
        <v>446</v>
      </c>
      <c r="O5" s="43">
        <v>248</v>
      </c>
      <c r="P5" s="43">
        <v>198</v>
      </c>
      <c r="Q5" s="43">
        <v>404</v>
      </c>
      <c r="R5" s="43">
        <v>197</v>
      </c>
      <c r="S5" s="43">
        <v>207</v>
      </c>
      <c r="T5" s="43">
        <v>371</v>
      </c>
      <c r="U5" s="43">
        <v>141</v>
      </c>
      <c r="V5" s="43">
        <v>230</v>
      </c>
      <c r="W5" s="43">
        <v>417</v>
      </c>
      <c r="X5" s="43">
        <v>166</v>
      </c>
      <c r="Y5" s="43">
        <v>251</v>
      </c>
      <c r="Z5" s="43">
        <v>432</v>
      </c>
      <c r="AA5" s="43">
        <v>162</v>
      </c>
      <c r="AB5" s="43">
        <v>270</v>
      </c>
      <c r="AC5" s="43">
        <v>419</v>
      </c>
      <c r="AD5" s="43">
        <v>179</v>
      </c>
      <c r="AE5" s="43">
        <v>240</v>
      </c>
      <c r="AF5" s="43">
        <v>334</v>
      </c>
      <c r="AG5" s="43">
        <v>165</v>
      </c>
      <c r="AH5" s="43">
        <v>169</v>
      </c>
      <c r="AI5" s="43">
        <v>287</v>
      </c>
      <c r="AJ5" s="43">
        <v>150</v>
      </c>
      <c r="AK5" s="43">
        <v>137</v>
      </c>
      <c r="AL5" s="43">
        <v>275</v>
      </c>
      <c r="AM5" s="43">
        <v>134</v>
      </c>
      <c r="AN5" s="43">
        <v>141</v>
      </c>
      <c r="AO5" s="43">
        <v>193</v>
      </c>
      <c r="AP5" s="43">
        <v>90</v>
      </c>
      <c r="AQ5" s="43">
        <v>103</v>
      </c>
      <c r="AR5" s="43">
        <v>170</v>
      </c>
      <c r="AS5" s="43">
        <v>87</v>
      </c>
      <c r="AT5" s="43">
        <v>83</v>
      </c>
      <c r="AU5" s="43">
        <v>134</v>
      </c>
      <c r="AV5" s="43">
        <v>62</v>
      </c>
      <c r="AW5" s="43">
        <v>72</v>
      </c>
      <c r="AX5" s="43">
        <v>80</v>
      </c>
      <c r="AY5" s="43">
        <v>36</v>
      </c>
      <c r="AZ5" s="43">
        <v>44</v>
      </c>
      <c r="BA5" s="43">
        <v>47</v>
      </c>
      <c r="BB5" s="43">
        <v>21</v>
      </c>
      <c r="BC5" s="43">
        <v>26</v>
      </c>
      <c r="BD5" s="43">
        <v>20</v>
      </c>
      <c r="BE5" s="43">
        <v>8</v>
      </c>
      <c r="BF5" s="43">
        <v>12</v>
      </c>
      <c r="BG5" s="43">
        <v>7</v>
      </c>
      <c r="BH5" s="43">
        <v>2</v>
      </c>
      <c r="BI5" s="43">
        <v>5</v>
      </c>
      <c r="BJ5" s="43">
        <v>1</v>
      </c>
      <c r="BK5" s="43">
        <v>0</v>
      </c>
      <c r="BL5" s="43">
        <v>1</v>
      </c>
    </row>
    <row r="6" spans="1:64" ht="14.25" customHeight="1" x14ac:dyDescent="0.55000000000000004">
      <c r="A6" s="43">
        <v>3</v>
      </c>
      <c r="B6" s="43">
        <v>4860</v>
      </c>
      <c r="C6" s="23">
        <f t="shared" ref="C6:D6" si="2">SUM(F6,I6,L6,O6,R6,U6,X6,AA6,AD6,AG6,AJ6,AM6,AP6,AS6,AV6,AY6,BB6,BE6,BH6,BK6)</f>
        <v>2232</v>
      </c>
      <c r="D6" s="23">
        <f t="shared" si="2"/>
        <v>2628</v>
      </c>
      <c r="E6" s="43">
        <v>363</v>
      </c>
      <c r="F6" s="43">
        <v>190</v>
      </c>
      <c r="G6" s="43">
        <v>173</v>
      </c>
      <c r="H6" s="43">
        <v>372</v>
      </c>
      <c r="I6" s="43">
        <v>209</v>
      </c>
      <c r="J6" s="43">
        <v>163</v>
      </c>
      <c r="K6" s="43">
        <v>395</v>
      </c>
      <c r="L6" s="43">
        <v>198</v>
      </c>
      <c r="M6" s="43">
        <v>197</v>
      </c>
      <c r="N6" s="43">
        <v>400</v>
      </c>
      <c r="O6" s="43">
        <v>194</v>
      </c>
      <c r="P6" s="43">
        <v>206</v>
      </c>
      <c r="Q6" s="43">
        <v>358</v>
      </c>
      <c r="R6" s="43">
        <v>166</v>
      </c>
      <c r="S6" s="43">
        <v>192</v>
      </c>
      <c r="T6" s="43">
        <v>331</v>
      </c>
      <c r="U6" s="43">
        <v>115</v>
      </c>
      <c r="V6" s="43">
        <v>216</v>
      </c>
      <c r="W6" s="43">
        <v>374</v>
      </c>
      <c r="X6" s="43">
        <v>143</v>
      </c>
      <c r="Y6" s="43">
        <v>231</v>
      </c>
      <c r="Z6" s="43">
        <v>331</v>
      </c>
      <c r="AA6" s="43">
        <v>140</v>
      </c>
      <c r="AB6" s="43">
        <v>191</v>
      </c>
      <c r="AC6" s="43">
        <v>281</v>
      </c>
      <c r="AD6" s="43">
        <v>123</v>
      </c>
      <c r="AE6" s="43">
        <v>158</v>
      </c>
      <c r="AF6" s="43">
        <v>291</v>
      </c>
      <c r="AG6" s="43">
        <v>128</v>
      </c>
      <c r="AH6" s="43">
        <v>163</v>
      </c>
      <c r="AI6" s="43">
        <v>283</v>
      </c>
      <c r="AJ6" s="43">
        <v>124</v>
      </c>
      <c r="AK6" s="43">
        <v>159</v>
      </c>
      <c r="AL6" s="43">
        <v>261</v>
      </c>
      <c r="AM6" s="43">
        <v>116</v>
      </c>
      <c r="AN6" s="43">
        <v>145</v>
      </c>
      <c r="AO6" s="43">
        <v>248</v>
      </c>
      <c r="AP6" s="43">
        <v>119</v>
      </c>
      <c r="AQ6" s="43">
        <v>129</v>
      </c>
      <c r="AR6" s="43">
        <v>203</v>
      </c>
      <c r="AS6" s="43">
        <v>101</v>
      </c>
      <c r="AT6" s="43">
        <v>102</v>
      </c>
      <c r="AU6" s="43">
        <v>142</v>
      </c>
      <c r="AV6" s="43">
        <v>63</v>
      </c>
      <c r="AW6" s="43">
        <v>79</v>
      </c>
      <c r="AX6" s="43">
        <v>119</v>
      </c>
      <c r="AY6" s="43">
        <v>54</v>
      </c>
      <c r="AZ6" s="43">
        <v>65</v>
      </c>
      <c r="BA6" s="43">
        <v>69</v>
      </c>
      <c r="BB6" s="43">
        <v>31</v>
      </c>
      <c r="BC6" s="43">
        <v>38</v>
      </c>
      <c r="BD6" s="43">
        <v>25</v>
      </c>
      <c r="BE6" s="43">
        <v>11</v>
      </c>
      <c r="BF6" s="43">
        <v>14</v>
      </c>
      <c r="BG6" s="43">
        <v>14</v>
      </c>
      <c r="BH6" s="43">
        <v>7</v>
      </c>
      <c r="BI6" s="43">
        <v>7</v>
      </c>
      <c r="BJ6" s="43">
        <v>0</v>
      </c>
      <c r="BK6" s="43">
        <v>0</v>
      </c>
      <c r="BL6" s="43">
        <v>0</v>
      </c>
    </row>
    <row r="7" spans="1:64" ht="14.25" customHeight="1" x14ac:dyDescent="0.55000000000000004">
      <c r="A7" s="23">
        <v>4</v>
      </c>
      <c r="B7" s="23">
        <v>7076</v>
      </c>
      <c r="C7" s="23">
        <f t="shared" ref="C7:D7" si="3">SUM(F7,I7,L7,O7,R7,U7,X7,AA7,AD7,AG7,AJ7,AM7,AP7,AS7,AV7,AY7,BB7,BE7,BH7,BK7)</f>
        <v>3416</v>
      </c>
      <c r="D7" s="23">
        <f t="shared" si="3"/>
        <v>3660</v>
      </c>
      <c r="E7" s="23">
        <v>582</v>
      </c>
      <c r="F7" s="23">
        <v>303</v>
      </c>
      <c r="G7" s="23">
        <v>279</v>
      </c>
      <c r="H7" s="23">
        <v>570</v>
      </c>
      <c r="I7" s="23">
        <v>301</v>
      </c>
      <c r="J7" s="23">
        <v>269</v>
      </c>
      <c r="K7" s="23">
        <v>597</v>
      </c>
      <c r="L7" s="23">
        <v>319</v>
      </c>
      <c r="M7" s="23">
        <v>278</v>
      </c>
      <c r="N7" s="23">
        <v>579</v>
      </c>
      <c r="O7" s="23">
        <v>297</v>
      </c>
      <c r="P7" s="23">
        <v>282</v>
      </c>
      <c r="Q7" s="23">
        <v>546</v>
      </c>
      <c r="R7" s="23">
        <v>252</v>
      </c>
      <c r="S7" s="23">
        <v>294</v>
      </c>
      <c r="T7" s="23">
        <v>550</v>
      </c>
      <c r="U7" s="23">
        <v>223</v>
      </c>
      <c r="V7" s="23">
        <v>327</v>
      </c>
      <c r="W7" s="23">
        <v>674</v>
      </c>
      <c r="X7" s="23">
        <v>294</v>
      </c>
      <c r="Y7" s="23">
        <v>380</v>
      </c>
      <c r="Z7" s="23">
        <v>655</v>
      </c>
      <c r="AA7" s="23">
        <v>271</v>
      </c>
      <c r="AB7" s="23">
        <v>384</v>
      </c>
      <c r="AC7" s="23">
        <v>560</v>
      </c>
      <c r="AD7" s="23">
        <v>255</v>
      </c>
      <c r="AE7" s="23">
        <v>305</v>
      </c>
      <c r="AF7" s="23">
        <v>480</v>
      </c>
      <c r="AG7" s="23">
        <v>245</v>
      </c>
      <c r="AH7" s="23">
        <v>235</v>
      </c>
      <c r="AI7" s="23">
        <v>322</v>
      </c>
      <c r="AJ7" s="23">
        <v>176</v>
      </c>
      <c r="AK7" s="23">
        <v>146</v>
      </c>
      <c r="AL7" s="23">
        <v>311</v>
      </c>
      <c r="AM7" s="23">
        <v>170</v>
      </c>
      <c r="AN7" s="23">
        <v>141</v>
      </c>
      <c r="AO7" s="23">
        <v>230</v>
      </c>
      <c r="AP7" s="23">
        <v>116</v>
      </c>
      <c r="AQ7" s="23">
        <v>114</v>
      </c>
      <c r="AR7" s="23">
        <v>162</v>
      </c>
      <c r="AS7" s="23">
        <v>79</v>
      </c>
      <c r="AT7" s="23">
        <v>83</v>
      </c>
      <c r="AU7" s="23">
        <v>114</v>
      </c>
      <c r="AV7" s="23">
        <v>47</v>
      </c>
      <c r="AW7" s="23">
        <v>67</v>
      </c>
      <c r="AX7" s="23">
        <v>80</v>
      </c>
      <c r="AY7" s="23">
        <v>39</v>
      </c>
      <c r="AZ7" s="23">
        <v>41</v>
      </c>
      <c r="BA7" s="23">
        <v>42</v>
      </c>
      <c r="BB7" s="23">
        <v>19</v>
      </c>
      <c r="BC7" s="23">
        <v>23</v>
      </c>
      <c r="BD7" s="23">
        <v>14</v>
      </c>
      <c r="BE7" s="23">
        <v>7</v>
      </c>
      <c r="BF7" s="23">
        <v>7</v>
      </c>
      <c r="BG7" s="23">
        <v>8</v>
      </c>
      <c r="BH7" s="23">
        <v>3</v>
      </c>
      <c r="BI7" s="23">
        <v>5</v>
      </c>
      <c r="BJ7" s="23">
        <v>0</v>
      </c>
      <c r="BK7" s="23">
        <v>0</v>
      </c>
      <c r="BL7" s="23">
        <v>0</v>
      </c>
    </row>
    <row r="8" spans="1:64" ht="14.25" customHeight="1" x14ac:dyDescent="0.55000000000000004">
      <c r="A8" s="23">
        <v>5</v>
      </c>
      <c r="B8" s="23">
        <v>6280</v>
      </c>
      <c r="C8" s="23">
        <f t="shared" ref="C8:D8" si="4">SUM(F8,I8,L8,O8,R8,U8,X8,AA8,AD8,AG8,AJ8,AM8,AP8,AS8,AV8,AY8,BB8,BE8,BH8,BK8)</f>
        <v>2964</v>
      </c>
      <c r="D8" s="23">
        <f t="shared" si="4"/>
        <v>3316</v>
      </c>
      <c r="E8" s="23">
        <v>508</v>
      </c>
      <c r="F8" s="23">
        <v>264</v>
      </c>
      <c r="G8" s="23">
        <v>244</v>
      </c>
      <c r="H8" s="23">
        <v>506</v>
      </c>
      <c r="I8" s="23">
        <v>267</v>
      </c>
      <c r="J8" s="23">
        <v>239</v>
      </c>
      <c r="K8" s="23">
        <v>475</v>
      </c>
      <c r="L8" s="23">
        <v>238</v>
      </c>
      <c r="M8" s="23">
        <v>237</v>
      </c>
      <c r="N8" s="23">
        <v>537</v>
      </c>
      <c r="O8" s="23">
        <v>276</v>
      </c>
      <c r="P8" s="23">
        <v>261</v>
      </c>
      <c r="Q8" s="23">
        <v>567</v>
      </c>
      <c r="R8" s="23">
        <v>273</v>
      </c>
      <c r="S8" s="23">
        <v>294</v>
      </c>
      <c r="T8" s="23">
        <v>492</v>
      </c>
      <c r="U8" s="23">
        <v>191</v>
      </c>
      <c r="V8" s="23">
        <v>301</v>
      </c>
      <c r="W8" s="23">
        <v>478</v>
      </c>
      <c r="X8" s="23">
        <v>189</v>
      </c>
      <c r="Y8" s="23">
        <v>289</v>
      </c>
      <c r="Z8" s="23">
        <v>490</v>
      </c>
      <c r="AA8" s="23">
        <v>210</v>
      </c>
      <c r="AB8" s="23">
        <v>280</v>
      </c>
      <c r="AC8" s="23">
        <v>522</v>
      </c>
      <c r="AD8" s="23">
        <v>239</v>
      </c>
      <c r="AE8" s="23">
        <v>283</v>
      </c>
      <c r="AF8" s="23">
        <v>417</v>
      </c>
      <c r="AG8" s="23">
        <v>208</v>
      </c>
      <c r="AH8" s="23">
        <v>209</v>
      </c>
      <c r="AI8" s="23">
        <v>303</v>
      </c>
      <c r="AJ8" s="23">
        <v>152</v>
      </c>
      <c r="AK8" s="23">
        <v>151</v>
      </c>
      <c r="AL8" s="23">
        <v>260</v>
      </c>
      <c r="AM8" s="23">
        <v>121</v>
      </c>
      <c r="AN8" s="23">
        <v>139</v>
      </c>
      <c r="AO8" s="23">
        <v>233</v>
      </c>
      <c r="AP8" s="23">
        <v>103</v>
      </c>
      <c r="AQ8" s="23">
        <v>130</v>
      </c>
      <c r="AR8" s="23">
        <v>203</v>
      </c>
      <c r="AS8" s="23">
        <v>92</v>
      </c>
      <c r="AT8" s="23">
        <v>111</v>
      </c>
      <c r="AU8" s="23">
        <v>146</v>
      </c>
      <c r="AV8" s="23">
        <v>70</v>
      </c>
      <c r="AW8" s="23">
        <v>76</v>
      </c>
      <c r="AX8" s="23">
        <v>79</v>
      </c>
      <c r="AY8" s="23">
        <v>41</v>
      </c>
      <c r="AZ8" s="23">
        <v>38</v>
      </c>
      <c r="BA8" s="23">
        <v>45</v>
      </c>
      <c r="BB8" s="23">
        <v>23</v>
      </c>
      <c r="BC8" s="23">
        <v>22</v>
      </c>
      <c r="BD8" s="23">
        <v>12</v>
      </c>
      <c r="BE8" s="23">
        <v>6</v>
      </c>
      <c r="BF8" s="23">
        <v>6</v>
      </c>
      <c r="BG8" s="23">
        <v>6</v>
      </c>
      <c r="BH8" s="23">
        <v>1</v>
      </c>
      <c r="BI8" s="23">
        <v>5</v>
      </c>
      <c r="BJ8" s="23">
        <v>1</v>
      </c>
      <c r="BK8" s="23">
        <v>0</v>
      </c>
      <c r="BL8" s="23">
        <v>1</v>
      </c>
    </row>
    <row r="9" spans="1:64" ht="14.25" customHeight="1" x14ac:dyDescent="0.55000000000000004">
      <c r="A9" s="43">
        <v>6</v>
      </c>
      <c r="B9" s="43">
        <v>3996</v>
      </c>
      <c r="C9" s="23">
        <f t="shared" ref="C9:D9" si="5">SUM(F9,I9,L9,O9,R9,U9,X9,AA9,AD9,AG9,AJ9,AM9,AP9,AS9,AV9,AY9,BB9,BE9,BH9,BK9)</f>
        <v>1864</v>
      </c>
      <c r="D9" s="23">
        <f t="shared" si="5"/>
        <v>2132</v>
      </c>
      <c r="E9" s="43">
        <v>309</v>
      </c>
      <c r="F9" s="43">
        <v>161</v>
      </c>
      <c r="G9" s="43">
        <v>148</v>
      </c>
      <c r="H9" s="43">
        <v>296</v>
      </c>
      <c r="I9" s="43">
        <v>160</v>
      </c>
      <c r="J9" s="43">
        <v>136</v>
      </c>
      <c r="K9" s="43">
        <v>330</v>
      </c>
      <c r="L9" s="43">
        <v>159</v>
      </c>
      <c r="M9" s="43">
        <v>171</v>
      </c>
      <c r="N9" s="43">
        <v>367</v>
      </c>
      <c r="O9" s="43">
        <v>187</v>
      </c>
      <c r="P9" s="43">
        <v>180</v>
      </c>
      <c r="Q9" s="43">
        <v>324</v>
      </c>
      <c r="R9" s="43">
        <v>158</v>
      </c>
      <c r="S9" s="43">
        <v>166</v>
      </c>
      <c r="T9" s="43">
        <v>284</v>
      </c>
      <c r="U9" s="43">
        <v>115</v>
      </c>
      <c r="V9" s="43">
        <v>169</v>
      </c>
      <c r="W9" s="43">
        <v>329</v>
      </c>
      <c r="X9" s="43">
        <v>134</v>
      </c>
      <c r="Y9" s="43">
        <v>195</v>
      </c>
      <c r="Z9" s="43">
        <v>345</v>
      </c>
      <c r="AA9" s="43">
        <v>138</v>
      </c>
      <c r="AB9" s="43">
        <v>207</v>
      </c>
      <c r="AC9" s="43">
        <v>336</v>
      </c>
      <c r="AD9" s="43">
        <v>150</v>
      </c>
      <c r="AE9" s="43">
        <v>186</v>
      </c>
      <c r="AF9" s="43">
        <v>238</v>
      </c>
      <c r="AG9" s="43">
        <v>125</v>
      </c>
      <c r="AH9" s="43">
        <v>113</v>
      </c>
      <c r="AI9" s="43">
        <v>180</v>
      </c>
      <c r="AJ9" s="43">
        <v>83</v>
      </c>
      <c r="AK9" s="43">
        <v>97</v>
      </c>
      <c r="AL9" s="43">
        <v>176</v>
      </c>
      <c r="AM9" s="43">
        <v>76</v>
      </c>
      <c r="AN9" s="43">
        <v>100</v>
      </c>
      <c r="AO9" s="43">
        <v>146</v>
      </c>
      <c r="AP9" s="43">
        <v>68</v>
      </c>
      <c r="AQ9" s="43">
        <v>78</v>
      </c>
      <c r="AR9" s="43">
        <v>134</v>
      </c>
      <c r="AS9" s="43">
        <v>64</v>
      </c>
      <c r="AT9" s="43">
        <v>70</v>
      </c>
      <c r="AU9" s="43">
        <v>88</v>
      </c>
      <c r="AV9" s="43">
        <v>36</v>
      </c>
      <c r="AW9" s="43">
        <v>52</v>
      </c>
      <c r="AX9" s="43">
        <v>62</v>
      </c>
      <c r="AY9" s="43">
        <v>27</v>
      </c>
      <c r="AZ9" s="43">
        <v>35</v>
      </c>
      <c r="BA9" s="43">
        <v>31</v>
      </c>
      <c r="BB9" s="43">
        <v>13</v>
      </c>
      <c r="BC9" s="43">
        <v>18</v>
      </c>
      <c r="BD9" s="43">
        <v>11</v>
      </c>
      <c r="BE9" s="43">
        <v>5</v>
      </c>
      <c r="BF9" s="43">
        <v>6</v>
      </c>
      <c r="BG9" s="43">
        <v>10</v>
      </c>
      <c r="BH9" s="43">
        <v>5</v>
      </c>
      <c r="BI9" s="43">
        <v>5</v>
      </c>
      <c r="BJ9" s="43">
        <v>0</v>
      </c>
      <c r="BK9" s="43">
        <v>0</v>
      </c>
      <c r="BL9" s="43">
        <v>0</v>
      </c>
    </row>
    <row r="10" spans="1:64" ht="14.25" customHeight="1" x14ac:dyDescent="0.55000000000000004">
      <c r="A10" s="43">
        <v>7</v>
      </c>
      <c r="B10" s="43">
        <v>4032</v>
      </c>
      <c r="C10" s="23">
        <f t="shared" ref="C10:D10" si="6">SUM(F10,I10,L10,O10,R10,U10,X10,AA10,AD10,AG10,AJ10,AM10,AP10,AS10,AV10,AY10,BB10,BE10,BH10,BK10)</f>
        <v>1901</v>
      </c>
      <c r="D10" s="23">
        <f t="shared" si="6"/>
        <v>2131</v>
      </c>
      <c r="E10" s="43">
        <v>294</v>
      </c>
      <c r="F10" s="43">
        <v>153</v>
      </c>
      <c r="G10" s="43">
        <v>141</v>
      </c>
      <c r="H10" s="43">
        <v>287</v>
      </c>
      <c r="I10" s="43">
        <v>163</v>
      </c>
      <c r="J10" s="43">
        <v>124</v>
      </c>
      <c r="K10" s="43">
        <v>292</v>
      </c>
      <c r="L10" s="43">
        <v>161</v>
      </c>
      <c r="M10" s="43">
        <v>131</v>
      </c>
      <c r="N10" s="43">
        <v>273</v>
      </c>
      <c r="O10" s="43">
        <v>141</v>
      </c>
      <c r="P10" s="43">
        <v>132</v>
      </c>
      <c r="Q10" s="43">
        <v>294</v>
      </c>
      <c r="R10" s="43">
        <v>146</v>
      </c>
      <c r="S10" s="43">
        <v>148</v>
      </c>
      <c r="T10" s="43">
        <v>298</v>
      </c>
      <c r="U10" s="43">
        <v>118</v>
      </c>
      <c r="V10" s="43">
        <v>180</v>
      </c>
      <c r="W10" s="43">
        <v>306</v>
      </c>
      <c r="X10" s="43">
        <v>125</v>
      </c>
      <c r="Y10" s="43">
        <v>181</v>
      </c>
      <c r="Z10" s="43">
        <v>271</v>
      </c>
      <c r="AA10" s="43">
        <v>115</v>
      </c>
      <c r="AB10" s="43">
        <v>156</v>
      </c>
      <c r="AC10" s="43">
        <v>261</v>
      </c>
      <c r="AD10" s="43">
        <v>106</v>
      </c>
      <c r="AE10" s="43">
        <v>155</v>
      </c>
      <c r="AF10" s="43">
        <v>238</v>
      </c>
      <c r="AG10" s="43">
        <v>113</v>
      </c>
      <c r="AH10" s="43">
        <v>125</v>
      </c>
      <c r="AI10" s="43">
        <v>232</v>
      </c>
      <c r="AJ10" s="43">
        <v>104</v>
      </c>
      <c r="AK10" s="43">
        <v>128</v>
      </c>
      <c r="AL10" s="43">
        <v>256</v>
      </c>
      <c r="AM10" s="43">
        <v>118</v>
      </c>
      <c r="AN10" s="43">
        <v>138</v>
      </c>
      <c r="AO10" s="43">
        <v>211</v>
      </c>
      <c r="AP10" s="43">
        <v>92</v>
      </c>
      <c r="AQ10" s="43">
        <v>119</v>
      </c>
      <c r="AR10" s="43">
        <v>173</v>
      </c>
      <c r="AS10" s="43">
        <v>78</v>
      </c>
      <c r="AT10" s="43">
        <v>95</v>
      </c>
      <c r="AU10" s="43">
        <v>147</v>
      </c>
      <c r="AV10" s="43">
        <v>74</v>
      </c>
      <c r="AW10" s="43">
        <v>73</v>
      </c>
      <c r="AX10" s="43">
        <v>100</v>
      </c>
      <c r="AY10" s="43">
        <v>52</v>
      </c>
      <c r="AZ10" s="43">
        <v>48</v>
      </c>
      <c r="BA10" s="43">
        <v>62</v>
      </c>
      <c r="BB10" s="43">
        <v>28</v>
      </c>
      <c r="BC10" s="43">
        <v>34</v>
      </c>
      <c r="BD10" s="43">
        <v>22</v>
      </c>
      <c r="BE10" s="43">
        <v>8</v>
      </c>
      <c r="BF10" s="43">
        <v>14</v>
      </c>
      <c r="BG10" s="43">
        <v>13</v>
      </c>
      <c r="BH10" s="43">
        <v>5</v>
      </c>
      <c r="BI10" s="43">
        <v>8</v>
      </c>
      <c r="BJ10" s="43">
        <v>2</v>
      </c>
      <c r="BK10" s="43">
        <v>1</v>
      </c>
      <c r="BL10" s="43">
        <v>1</v>
      </c>
    </row>
    <row r="11" spans="1:64" ht="14.25" customHeight="1" x14ac:dyDescent="0.55000000000000004">
      <c r="A11" s="43">
        <v>8</v>
      </c>
      <c r="B11" s="43">
        <v>3873</v>
      </c>
      <c r="C11" s="23">
        <f t="shared" ref="C11:D11" si="7">SUM(F11,I11,L11,O11,R11,U11,X11,AA11,AD11,AG11,AJ11,AM11,AP11,AS11,AV11,AY11,BB11,BE11,BH11,BK11)</f>
        <v>1793</v>
      </c>
      <c r="D11" s="23">
        <f t="shared" si="7"/>
        <v>2080</v>
      </c>
      <c r="E11" s="43">
        <v>306</v>
      </c>
      <c r="F11" s="43">
        <v>160</v>
      </c>
      <c r="G11" s="43">
        <v>146</v>
      </c>
      <c r="H11" s="43">
        <v>328</v>
      </c>
      <c r="I11" s="43">
        <v>178</v>
      </c>
      <c r="J11" s="43">
        <v>150</v>
      </c>
      <c r="K11" s="43">
        <v>292</v>
      </c>
      <c r="L11" s="43">
        <v>159</v>
      </c>
      <c r="M11" s="43">
        <v>133</v>
      </c>
      <c r="N11" s="43">
        <v>295</v>
      </c>
      <c r="O11" s="43">
        <v>143</v>
      </c>
      <c r="P11" s="43">
        <v>152</v>
      </c>
      <c r="Q11" s="43">
        <v>299</v>
      </c>
      <c r="R11" s="43">
        <v>131</v>
      </c>
      <c r="S11" s="43">
        <v>168</v>
      </c>
      <c r="T11" s="43">
        <v>287</v>
      </c>
      <c r="U11" s="43">
        <v>111</v>
      </c>
      <c r="V11" s="43">
        <v>176</v>
      </c>
      <c r="W11" s="43">
        <v>309</v>
      </c>
      <c r="X11" s="43">
        <v>124</v>
      </c>
      <c r="Y11" s="43">
        <v>185</v>
      </c>
      <c r="Z11" s="43">
        <v>295</v>
      </c>
      <c r="AA11" s="43">
        <v>111</v>
      </c>
      <c r="AB11" s="43">
        <v>184</v>
      </c>
      <c r="AC11" s="43">
        <v>247</v>
      </c>
      <c r="AD11" s="43">
        <v>102</v>
      </c>
      <c r="AE11" s="43">
        <v>145</v>
      </c>
      <c r="AF11" s="43">
        <v>218</v>
      </c>
      <c r="AG11" s="43">
        <v>104</v>
      </c>
      <c r="AH11" s="43">
        <v>114</v>
      </c>
      <c r="AI11" s="43">
        <v>212</v>
      </c>
      <c r="AJ11" s="43">
        <v>94</v>
      </c>
      <c r="AK11" s="43">
        <v>118</v>
      </c>
      <c r="AL11" s="43">
        <v>228</v>
      </c>
      <c r="AM11" s="43">
        <v>100</v>
      </c>
      <c r="AN11" s="43">
        <v>128</v>
      </c>
      <c r="AO11" s="43">
        <v>170</v>
      </c>
      <c r="AP11" s="43">
        <v>85</v>
      </c>
      <c r="AQ11" s="43">
        <v>85</v>
      </c>
      <c r="AR11" s="43">
        <v>142</v>
      </c>
      <c r="AS11" s="43">
        <v>74</v>
      </c>
      <c r="AT11" s="43">
        <v>68</v>
      </c>
      <c r="AU11" s="43">
        <v>108</v>
      </c>
      <c r="AV11" s="43">
        <v>55</v>
      </c>
      <c r="AW11" s="43">
        <v>53</v>
      </c>
      <c r="AX11" s="43">
        <v>71</v>
      </c>
      <c r="AY11" s="43">
        <v>33</v>
      </c>
      <c r="AZ11" s="43">
        <v>38</v>
      </c>
      <c r="BA11" s="43">
        <v>46</v>
      </c>
      <c r="BB11" s="43">
        <v>22</v>
      </c>
      <c r="BC11" s="43">
        <v>24</v>
      </c>
      <c r="BD11" s="43">
        <v>11</v>
      </c>
      <c r="BE11" s="43">
        <v>5</v>
      </c>
      <c r="BF11" s="43">
        <v>6</v>
      </c>
      <c r="BG11" s="43">
        <v>6</v>
      </c>
      <c r="BH11" s="43">
        <v>1</v>
      </c>
      <c r="BI11" s="43">
        <v>5</v>
      </c>
      <c r="BJ11" s="43">
        <v>3</v>
      </c>
      <c r="BK11" s="43">
        <v>1</v>
      </c>
      <c r="BL11" s="43">
        <v>2</v>
      </c>
    </row>
    <row r="12" spans="1:64" ht="14.25" customHeight="1" x14ac:dyDescent="0.55000000000000004">
      <c r="A12" s="23">
        <v>9</v>
      </c>
      <c r="B12" s="23">
        <v>7591</v>
      </c>
      <c r="C12" s="23">
        <f t="shared" ref="C12:D12" si="8">SUM(F12,I12,L12,O12,R12,U12,X12,AA12,AD12,AG12,AJ12,AM12,AP12,AS12,AV12,AY12,BB12,BE12,BH12,BK12)</f>
        <v>3452</v>
      </c>
      <c r="D12" s="23">
        <f t="shared" si="8"/>
        <v>4139</v>
      </c>
      <c r="E12" s="23">
        <v>647</v>
      </c>
      <c r="F12" s="23">
        <v>337</v>
      </c>
      <c r="G12" s="23">
        <v>310</v>
      </c>
      <c r="H12" s="23">
        <v>606</v>
      </c>
      <c r="I12" s="23">
        <v>308</v>
      </c>
      <c r="J12" s="23">
        <v>298</v>
      </c>
      <c r="K12" s="23">
        <v>706</v>
      </c>
      <c r="L12" s="23">
        <v>368</v>
      </c>
      <c r="M12" s="23">
        <v>338</v>
      </c>
      <c r="N12" s="23">
        <v>684</v>
      </c>
      <c r="O12" s="23">
        <v>351</v>
      </c>
      <c r="P12" s="23">
        <v>333</v>
      </c>
      <c r="Q12" s="23">
        <v>635</v>
      </c>
      <c r="R12" s="23">
        <v>306</v>
      </c>
      <c r="S12" s="23">
        <v>329</v>
      </c>
      <c r="T12" s="23">
        <v>588</v>
      </c>
      <c r="U12" s="23">
        <v>217</v>
      </c>
      <c r="V12" s="23">
        <v>371</v>
      </c>
      <c r="W12" s="23">
        <v>669</v>
      </c>
      <c r="X12" s="23">
        <v>235</v>
      </c>
      <c r="Y12" s="23">
        <v>434</v>
      </c>
      <c r="Z12" s="23">
        <v>616</v>
      </c>
      <c r="AA12" s="23">
        <v>231</v>
      </c>
      <c r="AB12" s="23">
        <v>385</v>
      </c>
      <c r="AC12" s="23">
        <v>549</v>
      </c>
      <c r="AD12" s="23">
        <v>225</v>
      </c>
      <c r="AE12" s="23">
        <v>324</v>
      </c>
      <c r="AF12" s="23">
        <v>444</v>
      </c>
      <c r="AG12" s="23">
        <v>210</v>
      </c>
      <c r="AH12" s="23">
        <v>234</v>
      </c>
      <c r="AI12" s="23">
        <v>379</v>
      </c>
      <c r="AJ12" s="23">
        <v>180</v>
      </c>
      <c r="AK12" s="23">
        <v>199</v>
      </c>
      <c r="AL12" s="23">
        <v>329</v>
      </c>
      <c r="AM12" s="23">
        <v>153</v>
      </c>
      <c r="AN12" s="23">
        <v>176</v>
      </c>
      <c r="AO12" s="23">
        <v>227</v>
      </c>
      <c r="AP12" s="23">
        <v>108</v>
      </c>
      <c r="AQ12" s="23">
        <v>119</v>
      </c>
      <c r="AR12" s="23">
        <v>176</v>
      </c>
      <c r="AS12" s="23">
        <v>79</v>
      </c>
      <c r="AT12" s="23">
        <v>97</v>
      </c>
      <c r="AU12" s="23">
        <v>136</v>
      </c>
      <c r="AV12" s="23">
        <v>58</v>
      </c>
      <c r="AW12" s="23">
        <v>78</v>
      </c>
      <c r="AX12" s="23">
        <v>113</v>
      </c>
      <c r="AY12" s="23">
        <v>46</v>
      </c>
      <c r="AZ12" s="23">
        <v>67</v>
      </c>
      <c r="BA12" s="23">
        <v>52</v>
      </c>
      <c r="BB12" s="23">
        <v>24</v>
      </c>
      <c r="BC12" s="23">
        <v>28</v>
      </c>
      <c r="BD12" s="23">
        <v>20</v>
      </c>
      <c r="BE12" s="23">
        <v>10</v>
      </c>
      <c r="BF12" s="23">
        <v>10</v>
      </c>
      <c r="BG12" s="23">
        <v>14</v>
      </c>
      <c r="BH12" s="23">
        <v>6</v>
      </c>
      <c r="BI12" s="23">
        <v>8</v>
      </c>
      <c r="BJ12" s="23">
        <v>1</v>
      </c>
      <c r="BK12" s="23">
        <v>0</v>
      </c>
      <c r="BL12" s="23">
        <v>1</v>
      </c>
    </row>
    <row r="13" spans="1:64" ht="14.25" customHeight="1" x14ac:dyDescent="0.55000000000000004">
      <c r="A13" s="23">
        <v>10</v>
      </c>
      <c r="B13" s="23">
        <v>3433</v>
      </c>
      <c r="C13" s="23">
        <f t="shared" ref="C13:D13" si="9">SUM(F13,I13,L13,O13,R13,U13,X13,AA13,AD13,AG13,AJ13,AM13,AP13,AS13,AV13,AY13,BB13,BE13,BH13,BK13)</f>
        <v>1597</v>
      </c>
      <c r="D13" s="23">
        <f t="shared" si="9"/>
        <v>1836</v>
      </c>
      <c r="E13" s="23">
        <v>252</v>
      </c>
      <c r="F13" s="23">
        <v>132</v>
      </c>
      <c r="G13" s="23">
        <v>120</v>
      </c>
      <c r="H13" s="23">
        <v>252</v>
      </c>
      <c r="I13" s="23">
        <v>124</v>
      </c>
      <c r="J13" s="23">
        <v>128</v>
      </c>
      <c r="K13" s="23">
        <v>269</v>
      </c>
      <c r="L13" s="23">
        <v>139</v>
      </c>
      <c r="M13" s="23">
        <v>130</v>
      </c>
      <c r="N13" s="23">
        <v>268</v>
      </c>
      <c r="O13" s="23">
        <v>140</v>
      </c>
      <c r="P13" s="23">
        <v>128</v>
      </c>
      <c r="Q13" s="23">
        <v>282</v>
      </c>
      <c r="R13" s="23">
        <v>128</v>
      </c>
      <c r="S13" s="23">
        <v>154</v>
      </c>
      <c r="T13" s="23">
        <v>237</v>
      </c>
      <c r="U13" s="23">
        <v>96</v>
      </c>
      <c r="V13" s="23">
        <v>141</v>
      </c>
      <c r="W13" s="23">
        <v>250</v>
      </c>
      <c r="X13" s="23">
        <v>98</v>
      </c>
      <c r="Y13" s="23">
        <v>152</v>
      </c>
      <c r="Z13" s="23">
        <v>226</v>
      </c>
      <c r="AA13" s="23">
        <v>95</v>
      </c>
      <c r="AB13" s="23">
        <v>131</v>
      </c>
      <c r="AC13" s="23">
        <v>245</v>
      </c>
      <c r="AD13" s="23">
        <v>109</v>
      </c>
      <c r="AE13" s="23">
        <v>136</v>
      </c>
      <c r="AF13" s="23">
        <v>244</v>
      </c>
      <c r="AG13" s="23">
        <v>114</v>
      </c>
      <c r="AH13" s="23">
        <v>130</v>
      </c>
      <c r="AI13" s="23">
        <v>178</v>
      </c>
      <c r="AJ13" s="23">
        <v>79</v>
      </c>
      <c r="AK13" s="23">
        <v>99</v>
      </c>
      <c r="AL13" s="23">
        <v>185</v>
      </c>
      <c r="AM13" s="23">
        <v>89</v>
      </c>
      <c r="AN13" s="23">
        <v>96</v>
      </c>
      <c r="AO13" s="23">
        <v>167</v>
      </c>
      <c r="AP13" s="23">
        <v>77</v>
      </c>
      <c r="AQ13" s="23">
        <v>90</v>
      </c>
      <c r="AR13" s="23">
        <v>128</v>
      </c>
      <c r="AS13" s="23">
        <v>61</v>
      </c>
      <c r="AT13" s="23">
        <v>67</v>
      </c>
      <c r="AU13" s="23">
        <v>113</v>
      </c>
      <c r="AV13" s="23">
        <v>55</v>
      </c>
      <c r="AW13" s="23">
        <v>58</v>
      </c>
      <c r="AX13" s="23">
        <v>79</v>
      </c>
      <c r="AY13" s="23">
        <v>35</v>
      </c>
      <c r="AZ13" s="23">
        <v>44</v>
      </c>
      <c r="BA13" s="23">
        <v>42</v>
      </c>
      <c r="BB13" s="23">
        <v>18</v>
      </c>
      <c r="BC13" s="23">
        <v>24</v>
      </c>
      <c r="BD13" s="23">
        <v>12</v>
      </c>
      <c r="BE13" s="23">
        <v>7</v>
      </c>
      <c r="BF13" s="23">
        <v>5</v>
      </c>
      <c r="BG13" s="23">
        <v>4</v>
      </c>
      <c r="BH13" s="23">
        <v>1</v>
      </c>
      <c r="BI13" s="23">
        <v>3</v>
      </c>
      <c r="BJ13" s="23">
        <v>0</v>
      </c>
      <c r="BK13" s="23">
        <v>0</v>
      </c>
      <c r="BL13" s="23">
        <v>0</v>
      </c>
    </row>
    <row r="14" spans="1:64" ht="14.25" customHeight="1" x14ac:dyDescent="0.55000000000000004">
      <c r="A14" s="43">
        <v>11</v>
      </c>
      <c r="B14" s="43">
        <v>2184</v>
      </c>
      <c r="C14" s="23">
        <f t="shared" ref="C14:D14" si="10">SUM(F14,I14,L14,O14,R14,U14,X14,AA14,AD14,AG14,AJ14,AM14,AP14,AS14,AV14,AY14,BB14,BE14,BH14,BK14)</f>
        <v>1010</v>
      </c>
      <c r="D14" s="23">
        <f t="shared" si="10"/>
        <v>1174</v>
      </c>
      <c r="E14" s="43">
        <v>146</v>
      </c>
      <c r="F14" s="43">
        <v>76</v>
      </c>
      <c r="G14" s="43">
        <v>70</v>
      </c>
      <c r="H14" s="43">
        <v>149</v>
      </c>
      <c r="I14" s="43">
        <v>83</v>
      </c>
      <c r="J14" s="43">
        <v>66</v>
      </c>
      <c r="K14" s="43">
        <v>152</v>
      </c>
      <c r="L14" s="43">
        <v>77</v>
      </c>
      <c r="M14" s="43">
        <v>75</v>
      </c>
      <c r="N14" s="43">
        <v>158</v>
      </c>
      <c r="O14" s="43">
        <v>81</v>
      </c>
      <c r="P14" s="43">
        <v>77</v>
      </c>
      <c r="Q14" s="43">
        <v>170</v>
      </c>
      <c r="R14" s="43">
        <v>82</v>
      </c>
      <c r="S14" s="43">
        <v>88</v>
      </c>
      <c r="T14" s="43">
        <v>152</v>
      </c>
      <c r="U14" s="43">
        <v>61</v>
      </c>
      <c r="V14" s="43">
        <v>91</v>
      </c>
      <c r="W14" s="43">
        <v>142</v>
      </c>
      <c r="X14" s="43">
        <v>58</v>
      </c>
      <c r="Y14" s="43">
        <v>84</v>
      </c>
      <c r="Z14" s="43">
        <v>120</v>
      </c>
      <c r="AA14" s="43">
        <v>50</v>
      </c>
      <c r="AB14" s="43">
        <v>70</v>
      </c>
      <c r="AC14" s="43">
        <v>128</v>
      </c>
      <c r="AD14" s="43">
        <v>47</v>
      </c>
      <c r="AE14" s="43">
        <v>81</v>
      </c>
      <c r="AF14" s="43">
        <v>135</v>
      </c>
      <c r="AG14" s="43">
        <v>58</v>
      </c>
      <c r="AH14" s="43">
        <v>77</v>
      </c>
      <c r="AI14" s="43">
        <v>134</v>
      </c>
      <c r="AJ14" s="43">
        <v>56</v>
      </c>
      <c r="AK14" s="43">
        <v>78</v>
      </c>
      <c r="AL14" s="43">
        <v>144</v>
      </c>
      <c r="AM14" s="43">
        <v>66</v>
      </c>
      <c r="AN14" s="43">
        <v>78</v>
      </c>
      <c r="AO14" s="43">
        <v>121</v>
      </c>
      <c r="AP14" s="43">
        <v>56</v>
      </c>
      <c r="AQ14" s="43">
        <v>65</v>
      </c>
      <c r="AR14" s="43">
        <v>108</v>
      </c>
      <c r="AS14" s="43">
        <v>54</v>
      </c>
      <c r="AT14" s="43">
        <v>54</v>
      </c>
      <c r="AU14" s="43">
        <v>107</v>
      </c>
      <c r="AV14" s="43">
        <v>45</v>
      </c>
      <c r="AW14" s="43">
        <v>62</v>
      </c>
      <c r="AX14" s="43">
        <v>68</v>
      </c>
      <c r="AY14" s="43">
        <v>31</v>
      </c>
      <c r="AZ14" s="43">
        <v>37</v>
      </c>
      <c r="BA14" s="43">
        <v>29</v>
      </c>
      <c r="BB14" s="43">
        <v>18</v>
      </c>
      <c r="BC14" s="43">
        <v>11</v>
      </c>
      <c r="BD14" s="43">
        <v>13</v>
      </c>
      <c r="BE14" s="43">
        <v>8</v>
      </c>
      <c r="BF14" s="43">
        <v>5</v>
      </c>
      <c r="BG14" s="43">
        <v>8</v>
      </c>
      <c r="BH14" s="43">
        <v>3</v>
      </c>
      <c r="BI14" s="43">
        <v>5</v>
      </c>
      <c r="BJ14" s="43">
        <v>0</v>
      </c>
      <c r="BK14" s="43">
        <v>0</v>
      </c>
      <c r="BL14" s="43">
        <v>0</v>
      </c>
    </row>
    <row r="15" spans="1:64" ht="14.25" customHeight="1" x14ac:dyDescent="0.55000000000000004">
      <c r="A15" s="43">
        <v>12</v>
      </c>
      <c r="B15" s="43">
        <v>3603</v>
      </c>
      <c r="C15" s="23">
        <f t="shared" ref="C15:D15" si="11">SUM(F15,I15,L15,O15,R15,U15,X15,AA15,AD15,AG15,AJ15,AM15,AP15,AS15,AV15,AY15,BB15,BE15,BH15,BK15)</f>
        <v>1686</v>
      </c>
      <c r="D15" s="23">
        <f t="shared" si="11"/>
        <v>1917</v>
      </c>
      <c r="E15" s="43">
        <v>250</v>
      </c>
      <c r="F15" s="43">
        <v>130</v>
      </c>
      <c r="G15" s="43">
        <v>120</v>
      </c>
      <c r="H15" s="43">
        <v>276</v>
      </c>
      <c r="I15" s="43">
        <v>147</v>
      </c>
      <c r="J15" s="43">
        <v>129</v>
      </c>
      <c r="K15" s="43">
        <v>291</v>
      </c>
      <c r="L15" s="43">
        <v>155</v>
      </c>
      <c r="M15" s="43">
        <v>136</v>
      </c>
      <c r="N15" s="43">
        <v>326</v>
      </c>
      <c r="O15" s="43">
        <v>163</v>
      </c>
      <c r="P15" s="43">
        <v>163</v>
      </c>
      <c r="Q15" s="43">
        <v>273</v>
      </c>
      <c r="R15" s="43">
        <v>126</v>
      </c>
      <c r="S15" s="43">
        <v>147</v>
      </c>
      <c r="T15" s="43">
        <v>230</v>
      </c>
      <c r="U15" s="43">
        <v>101</v>
      </c>
      <c r="V15" s="43">
        <v>129</v>
      </c>
      <c r="W15" s="43">
        <v>271</v>
      </c>
      <c r="X15" s="43">
        <v>111</v>
      </c>
      <c r="Y15" s="43">
        <v>160</v>
      </c>
      <c r="Z15" s="43">
        <v>249</v>
      </c>
      <c r="AA15" s="43">
        <v>99</v>
      </c>
      <c r="AB15" s="43">
        <v>150</v>
      </c>
      <c r="AC15" s="43">
        <v>233</v>
      </c>
      <c r="AD15" s="43">
        <v>101</v>
      </c>
      <c r="AE15" s="43">
        <v>132</v>
      </c>
      <c r="AF15" s="43">
        <v>216</v>
      </c>
      <c r="AG15" s="43">
        <v>104</v>
      </c>
      <c r="AH15" s="43">
        <v>112</v>
      </c>
      <c r="AI15" s="43">
        <v>206</v>
      </c>
      <c r="AJ15" s="43">
        <v>95</v>
      </c>
      <c r="AK15" s="43">
        <v>111</v>
      </c>
      <c r="AL15" s="43">
        <v>209</v>
      </c>
      <c r="AM15" s="43">
        <v>95</v>
      </c>
      <c r="AN15" s="43">
        <v>114</v>
      </c>
      <c r="AO15" s="43">
        <v>164</v>
      </c>
      <c r="AP15" s="43">
        <v>71</v>
      </c>
      <c r="AQ15" s="43">
        <v>93</v>
      </c>
      <c r="AR15" s="43">
        <v>154</v>
      </c>
      <c r="AS15" s="43">
        <v>79</v>
      </c>
      <c r="AT15" s="43">
        <v>75</v>
      </c>
      <c r="AU15" s="43">
        <v>115</v>
      </c>
      <c r="AV15" s="43">
        <v>52</v>
      </c>
      <c r="AW15" s="43">
        <v>63</v>
      </c>
      <c r="AX15" s="43">
        <v>79</v>
      </c>
      <c r="AY15" s="43">
        <v>33</v>
      </c>
      <c r="AZ15" s="43">
        <v>46</v>
      </c>
      <c r="BA15" s="43">
        <v>40</v>
      </c>
      <c r="BB15" s="43">
        <v>16</v>
      </c>
      <c r="BC15" s="43">
        <v>24</v>
      </c>
      <c r="BD15" s="43">
        <v>12</v>
      </c>
      <c r="BE15" s="43">
        <v>5</v>
      </c>
      <c r="BF15" s="43">
        <v>7</v>
      </c>
      <c r="BG15" s="43">
        <v>8</v>
      </c>
      <c r="BH15" s="43">
        <v>3</v>
      </c>
      <c r="BI15" s="43">
        <v>5</v>
      </c>
      <c r="BJ15" s="43">
        <v>1</v>
      </c>
      <c r="BK15" s="43">
        <v>0</v>
      </c>
      <c r="BL15" s="43">
        <v>1</v>
      </c>
    </row>
    <row r="16" spans="1:64" ht="14.25" customHeight="1" x14ac:dyDescent="0.55000000000000004">
      <c r="A16" s="43">
        <v>13</v>
      </c>
      <c r="B16" s="43">
        <v>5126</v>
      </c>
      <c r="C16" s="23">
        <f t="shared" ref="C16:D16" si="12">SUM(F16,I16,L16,O16,R16,U16,X16,AA16,AD16,AG16,AJ16,AM16,AP16,AS16,AV16,AY16,BB16,BE16,BH16,BK16)</f>
        <v>2342</v>
      </c>
      <c r="D16" s="23">
        <f t="shared" si="12"/>
        <v>2784</v>
      </c>
      <c r="E16" s="43">
        <v>368</v>
      </c>
      <c r="F16" s="43">
        <v>193</v>
      </c>
      <c r="G16" s="43">
        <v>175</v>
      </c>
      <c r="H16" s="43">
        <v>402</v>
      </c>
      <c r="I16" s="43">
        <v>219</v>
      </c>
      <c r="J16" s="43">
        <v>183</v>
      </c>
      <c r="K16" s="43">
        <v>406</v>
      </c>
      <c r="L16" s="43">
        <v>198</v>
      </c>
      <c r="M16" s="43">
        <v>208</v>
      </c>
      <c r="N16" s="43">
        <v>417</v>
      </c>
      <c r="O16" s="43">
        <v>206</v>
      </c>
      <c r="P16" s="43">
        <v>211</v>
      </c>
      <c r="Q16" s="43">
        <v>399</v>
      </c>
      <c r="R16" s="43">
        <v>179</v>
      </c>
      <c r="S16" s="43">
        <v>220</v>
      </c>
      <c r="T16" s="43">
        <v>362</v>
      </c>
      <c r="U16" s="43">
        <v>156</v>
      </c>
      <c r="V16" s="43">
        <v>206</v>
      </c>
      <c r="W16" s="43">
        <v>358</v>
      </c>
      <c r="X16" s="43">
        <v>137</v>
      </c>
      <c r="Y16" s="43">
        <v>221</v>
      </c>
      <c r="Z16" s="43">
        <v>333</v>
      </c>
      <c r="AA16" s="43">
        <v>119</v>
      </c>
      <c r="AB16" s="43">
        <v>214</v>
      </c>
      <c r="AC16" s="43">
        <v>289</v>
      </c>
      <c r="AD16" s="43">
        <v>122</v>
      </c>
      <c r="AE16" s="43">
        <v>167</v>
      </c>
      <c r="AF16" s="43">
        <v>290</v>
      </c>
      <c r="AG16" s="43">
        <v>125</v>
      </c>
      <c r="AH16" s="43">
        <v>165</v>
      </c>
      <c r="AI16" s="43">
        <v>285</v>
      </c>
      <c r="AJ16" s="43">
        <v>123</v>
      </c>
      <c r="AK16" s="43">
        <v>162</v>
      </c>
      <c r="AL16" s="43">
        <v>295</v>
      </c>
      <c r="AM16" s="43">
        <v>130</v>
      </c>
      <c r="AN16" s="43">
        <v>165</v>
      </c>
      <c r="AO16" s="43">
        <v>256</v>
      </c>
      <c r="AP16" s="43">
        <v>121</v>
      </c>
      <c r="AQ16" s="43">
        <v>135</v>
      </c>
      <c r="AR16" s="43">
        <v>241</v>
      </c>
      <c r="AS16" s="43">
        <v>120</v>
      </c>
      <c r="AT16" s="43">
        <v>121</v>
      </c>
      <c r="AU16" s="43">
        <v>187</v>
      </c>
      <c r="AV16" s="43">
        <v>92</v>
      </c>
      <c r="AW16" s="43">
        <v>95</v>
      </c>
      <c r="AX16" s="43">
        <v>136</v>
      </c>
      <c r="AY16" s="43">
        <v>61</v>
      </c>
      <c r="AZ16" s="43">
        <v>75</v>
      </c>
      <c r="BA16" s="43">
        <v>70</v>
      </c>
      <c r="BB16" s="43">
        <v>28</v>
      </c>
      <c r="BC16" s="43">
        <v>42</v>
      </c>
      <c r="BD16" s="43">
        <v>21</v>
      </c>
      <c r="BE16" s="43">
        <v>10</v>
      </c>
      <c r="BF16" s="43">
        <v>11</v>
      </c>
      <c r="BG16" s="43">
        <v>10</v>
      </c>
      <c r="BH16" s="43">
        <v>3</v>
      </c>
      <c r="BI16" s="43">
        <v>7</v>
      </c>
      <c r="BJ16" s="43">
        <v>1</v>
      </c>
      <c r="BK16" s="43">
        <v>0</v>
      </c>
      <c r="BL16" s="43">
        <v>1</v>
      </c>
    </row>
    <row r="17" spans="1:64" ht="14.25" customHeight="1" x14ac:dyDescent="0.55000000000000004"/>
    <row r="18" spans="1:64" ht="14.25" customHeight="1" x14ac:dyDescent="0.55000000000000004"/>
    <row r="19" spans="1:64" ht="14.25" customHeight="1" x14ac:dyDescent="0.55000000000000004">
      <c r="A19" s="23" t="s">
        <v>128</v>
      </c>
      <c r="B19" s="23">
        <f t="shared" ref="B19:D19" si="13">SUM(B4,B7,B8,B12,B13)</f>
        <v>27331</v>
      </c>
      <c r="C19" s="23">
        <f t="shared" si="13"/>
        <v>12805</v>
      </c>
      <c r="D19" s="23">
        <f t="shared" si="13"/>
        <v>14526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</row>
    <row r="20" spans="1:64" ht="14.25" customHeight="1" x14ac:dyDescent="0.55000000000000004"/>
    <row r="21" spans="1:64" ht="14.25" customHeight="1" x14ac:dyDescent="0.55000000000000004"/>
    <row r="22" spans="1:64" ht="14.25" customHeight="1" x14ac:dyDescent="0.55000000000000004"/>
    <row r="23" spans="1:64" ht="14.25" customHeight="1" x14ac:dyDescent="0.55000000000000004"/>
    <row r="24" spans="1:64" ht="14.25" customHeight="1" x14ac:dyDescent="0.55000000000000004"/>
    <row r="25" spans="1:64" ht="14.25" customHeight="1" x14ac:dyDescent="0.55000000000000004"/>
    <row r="26" spans="1:64" ht="14.25" customHeight="1" x14ac:dyDescent="0.55000000000000004"/>
    <row r="27" spans="1:64" ht="14.25" customHeight="1" x14ac:dyDescent="0.55000000000000004"/>
    <row r="28" spans="1:64" ht="14.25" customHeight="1" x14ac:dyDescent="0.55000000000000004"/>
    <row r="29" spans="1:64" ht="14.25" customHeight="1" x14ac:dyDescent="0.55000000000000004"/>
    <row r="30" spans="1:64" ht="14.25" customHeight="1" x14ac:dyDescent="0.55000000000000004"/>
    <row r="31" spans="1:64" ht="14.25" customHeight="1" x14ac:dyDescent="0.55000000000000004"/>
    <row r="32" spans="1:64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8.41796875" customWidth="1"/>
    <col min="2" max="64" width="10" customWidth="1"/>
  </cols>
  <sheetData>
    <row r="1" spans="1:64" ht="14.25" customHeight="1" x14ac:dyDescent="0.6">
      <c r="A1" s="56" t="s">
        <v>126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1459</v>
      </c>
      <c r="C4" s="21">
        <f t="shared" ref="C4:D4" si="0">SUM(F4,I4,L4,O4,R4,U4,X4,AA4,AD4,AG4,AJ4,AM4,AP4,AS4,AV4,AY4,BB4,BE4,BH4,BK4)</f>
        <v>680</v>
      </c>
      <c r="D4" s="21">
        <f t="shared" si="0"/>
        <v>779</v>
      </c>
      <c r="E4" s="21">
        <v>127</v>
      </c>
      <c r="F4" s="21">
        <v>67</v>
      </c>
      <c r="G4" s="21">
        <v>60</v>
      </c>
      <c r="H4" s="21">
        <v>112</v>
      </c>
      <c r="I4" s="21">
        <v>48</v>
      </c>
      <c r="J4" s="21">
        <v>64</v>
      </c>
      <c r="K4" s="21">
        <v>98</v>
      </c>
      <c r="L4" s="21">
        <v>51</v>
      </c>
      <c r="M4" s="21">
        <v>47</v>
      </c>
      <c r="N4" s="21">
        <v>139</v>
      </c>
      <c r="O4" s="21">
        <v>70</v>
      </c>
      <c r="P4" s="21">
        <v>69</v>
      </c>
      <c r="Q4" s="21">
        <v>142</v>
      </c>
      <c r="R4" s="21">
        <v>61</v>
      </c>
      <c r="S4" s="21">
        <v>81</v>
      </c>
      <c r="T4" s="21">
        <v>107</v>
      </c>
      <c r="U4" s="21">
        <v>41</v>
      </c>
      <c r="V4" s="21">
        <v>66</v>
      </c>
      <c r="W4" s="21">
        <v>104</v>
      </c>
      <c r="X4" s="21">
        <v>46</v>
      </c>
      <c r="Y4" s="21">
        <v>58</v>
      </c>
      <c r="Z4" s="21">
        <v>91</v>
      </c>
      <c r="AA4" s="21">
        <v>36</v>
      </c>
      <c r="AB4" s="21">
        <v>55</v>
      </c>
      <c r="AC4" s="21">
        <v>86</v>
      </c>
      <c r="AD4" s="21">
        <v>38</v>
      </c>
      <c r="AE4" s="21">
        <v>48</v>
      </c>
      <c r="AF4" s="21">
        <v>73</v>
      </c>
      <c r="AG4" s="21">
        <v>27</v>
      </c>
      <c r="AH4" s="21">
        <v>46</v>
      </c>
      <c r="AI4" s="21">
        <v>80</v>
      </c>
      <c r="AJ4" s="21">
        <v>43</v>
      </c>
      <c r="AK4" s="21">
        <v>37</v>
      </c>
      <c r="AL4" s="21">
        <v>73</v>
      </c>
      <c r="AM4" s="21">
        <v>38</v>
      </c>
      <c r="AN4" s="21">
        <v>35</v>
      </c>
      <c r="AO4" s="21">
        <v>71</v>
      </c>
      <c r="AP4" s="21">
        <v>36</v>
      </c>
      <c r="AQ4" s="21">
        <v>35</v>
      </c>
      <c r="AR4" s="21">
        <v>64</v>
      </c>
      <c r="AS4" s="21">
        <v>30</v>
      </c>
      <c r="AT4" s="21">
        <v>34</v>
      </c>
      <c r="AU4" s="21">
        <v>39</v>
      </c>
      <c r="AV4" s="21">
        <v>20</v>
      </c>
      <c r="AW4" s="21">
        <v>19</v>
      </c>
      <c r="AX4" s="21">
        <v>28</v>
      </c>
      <c r="AY4" s="21">
        <v>13</v>
      </c>
      <c r="AZ4" s="21">
        <v>15</v>
      </c>
      <c r="BA4" s="21">
        <v>22</v>
      </c>
      <c r="BB4" s="21">
        <v>13</v>
      </c>
      <c r="BC4" s="21">
        <v>9</v>
      </c>
      <c r="BD4" s="21">
        <v>3</v>
      </c>
      <c r="BE4" s="21">
        <v>2</v>
      </c>
      <c r="BF4" s="21">
        <v>1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</row>
    <row r="5" spans="1:64" ht="14.25" customHeight="1" x14ac:dyDescent="0.55000000000000004">
      <c r="A5" s="21">
        <v>2</v>
      </c>
      <c r="B5" s="21">
        <v>2432</v>
      </c>
      <c r="C5" s="21">
        <f t="shared" ref="C5:D5" si="1">SUM(F5,I5,L5,O5,R5,U5,X5,AA5,AD5,AG5,AJ5,AM5,AP5,AS5,AV5,AY5,BB5,BE5,BH5,BK5)</f>
        <v>1154</v>
      </c>
      <c r="D5" s="21">
        <f t="shared" si="1"/>
        <v>1278</v>
      </c>
      <c r="E5" s="21">
        <v>184</v>
      </c>
      <c r="F5" s="21">
        <v>96</v>
      </c>
      <c r="G5" s="21">
        <v>88</v>
      </c>
      <c r="H5" s="21">
        <v>187</v>
      </c>
      <c r="I5" s="21">
        <v>103</v>
      </c>
      <c r="J5" s="21">
        <v>84</v>
      </c>
      <c r="K5" s="21">
        <v>195</v>
      </c>
      <c r="L5" s="21">
        <v>103</v>
      </c>
      <c r="M5" s="21">
        <v>92</v>
      </c>
      <c r="N5" s="21">
        <v>220</v>
      </c>
      <c r="O5" s="21">
        <v>104</v>
      </c>
      <c r="P5" s="21">
        <v>116</v>
      </c>
      <c r="Q5" s="21">
        <v>175</v>
      </c>
      <c r="R5" s="21">
        <v>72</v>
      </c>
      <c r="S5" s="21">
        <v>103</v>
      </c>
      <c r="T5" s="21">
        <v>147</v>
      </c>
      <c r="U5" s="21">
        <v>56</v>
      </c>
      <c r="V5" s="21">
        <v>91</v>
      </c>
      <c r="W5" s="21">
        <v>162</v>
      </c>
      <c r="X5" s="21">
        <v>67</v>
      </c>
      <c r="Y5" s="21">
        <v>95</v>
      </c>
      <c r="Z5" s="21">
        <v>172</v>
      </c>
      <c r="AA5" s="21">
        <v>77</v>
      </c>
      <c r="AB5" s="21">
        <v>95</v>
      </c>
      <c r="AC5" s="21">
        <v>154</v>
      </c>
      <c r="AD5" s="21">
        <v>69</v>
      </c>
      <c r="AE5" s="21">
        <v>85</v>
      </c>
      <c r="AF5" s="21">
        <v>150</v>
      </c>
      <c r="AG5" s="21">
        <v>63</v>
      </c>
      <c r="AH5" s="21">
        <v>87</v>
      </c>
      <c r="AI5" s="21">
        <v>182</v>
      </c>
      <c r="AJ5" s="21">
        <v>83</v>
      </c>
      <c r="AK5" s="21">
        <v>99</v>
      </c>
      <c r="AL5" s="21">
        <v>158</v>
      </c>
      <c r="AM5" s="21">
        <v>84</v>
      </c>
      <c r="AN5" s="21">
        <v>74</v>
      </c>
      <c r="AO5" s="21">
        <v>114</v>
      </c>
      <c r="AP5" s="21">
        <v>54</v>
      </c>
      <c r="AQ5" s="21">
        <v>60</v>
      </c>
      <c r="AR5" s="21">
        <v>86</v>
      </c>
      <c r="AS5" s="21">
        <v>49</v>
      </c>
      <c r="AT5" s="21">
        <v>37</v>
      </c>
      <c r="AU5" s="21">
        <v>59</v>
      </c>
      <c r="AV5" s="21">
        <v>31</v>
      </c>
      <c r="AW5" s="21">
        <v>28</v>
      </c>
      <c r="AX5" s="21">
        <v>42</v>
      </c>
      <c r="AY5" s="21">
        <v>17</v>
      </c>
      <c r="AZ5" s="21">
        <v>25</v>
      </c>
      <c r="BA5" s="21">
        <v>33</v>
      </c>
      <c r="BB5" s="21">
        <v>19</v>
      </c>
      <c r="BC5" s="21">
        <v>14</v>
      </c>
      <c r="BD5" s="21">
        <v>11</v>
      </c>
      <c r="BE5" s="21">
        <v>7</v>
      </c>
      <c r="BF5" s="21">
        <v>4</v>
      </c>
      <c r="BG5" s="21">
        <v>0</v>
      </c>
      <c r="BH5" s="21">
        <v>0</v>
      </c>
      <c r="BI5" s="21">
        <v>0</v>
      </c>
      <c r="BJ5" s="21">
        <v>1</v>
      </c>
      <c r="BK5" s="21">
        <v>0</v>
      </c>
      <c r="BL5" s="21">
        <v>1</v>
      </c>
    </row>
    <row r="6" spans="1:64" ht="14.25" customHeight="1" x14ac:dyDescent="0.55000000000000004">
      <c r="A6" s="21">
        <v>3</v>
      </c>
      <c r="B6" s="21">
        <v>2920</v>
      </c>
      <c r="C6" s="21">
        <f t="shared" ref="C6:D6" si="2">SUM(F6,I6,L6,O6,R6,U6,X6,AA6,AD6,AG6,AJ6,AM6,AP6,AS6,AV6,AY6,BB6,BE6,BH6,BK6)</f>
        <v>1368</v>
      </c>
      <c r="D6" s="21">
        <f t="shared" si="2"/>
        <v>1552</v>
      </c>
      <c r="E6" s="21">
        <v>222</v>
      </c>
      <c r="F6" s="21">
        <v>116</v>
      </c>
      <c r="G6" s="21">
        <v>106</v>
      </c>
      <c r="H6" s="21">
        <v>186</v>
      </c>
      <c r="I6" s="21">
        <v>103</v>
      </c>
      <c r="J6" s="21">
        <v>83</v>
      </c>
      <c r="K6" s="21">
        <v>246</v>
      </c>
      <c r="L6" s="21">
        <v>131</v>
      </c>
      <c r="M6" s="21">
        <v>115</v>
      </c>
      <c r="N6" s="21">
        <v>271</v>
      </c>
      <c r="O6" s="21">
        <v>133</v>
      </c>
      <c r="P6" s="21">
        <v>138</v>
      </c>
      <c r="Q6" s="21">
        <v>216</v>
      </c>
      <c r="R6" s="21">
        <v>86</v>
      </c>
      <c r="S6" s="21">
        <v>130</v>
      </c>
      <c r="T6" s="21">
        <v>157</v>
      </c>
      <c r="U6" s="21">
        <v>53</v>
      </c>
      <c r="V6" s="21">
        <v>104</v>
      </c>
      <c r="W6" s="21">
        <v>190</v>
      </c>
      <c r="X6" s="21">
        <v>75</v>
      </c>
      <c r="Y6" s="21">
        <v>115</v>
      </c>
      <c r="Z6" s="21">
        <v>213</v>
      </c>
      <c r="AA6" s="21">
        <v>97</v>
      </c>
      <c r="AB6" s="21">
        <v>116</v>
      </c>
      <c r="AC6" s="21">
        <v>195</v>
      </c>
      <c r="AD6" s="21">
        <v>86</v>
      </c>
      <c r="AE6" s="21">
        <v>109</v>
      </c>
      <c r="AF6" s="21">
        <v>226</v>
      </c>
      <c r="AG6" s="21">
        <v>101</v>
      </c>
      <c r="AH6" s="21">
        <v>125</v>
      </c>
      <c r="AI6" s="21">
        <v>176</v>
      </c>
      <c r="AJ6" s="21">
        <v>91</v>
      </c>
      <c r="AK6" s="21">
        <v>85</v>
      </c>
      <c r="AL6" s="21">
        <v>157</v>
      </c>
      <c r="AM6" s="21">
        <v>75</v>
      </c>
      <c r="AN6" s="21">
        <v>82</v>
      </c>
      <c r="AO6" s="21">
        <v>136</v>
      </c>
      <c r="AP6" s="21">
        <v>69</v>
      </c>
      <c r="AQ6" s="21">
        <v>67</v>
      </c>
      <c r="AR6" s="21">
        <v>128</v>
      </c>
      <c r="AS6" s="21">
        <v>62</v>
      </c>
      <c r="AT6" s="21">
        <v>66</v>
      </c>
      <c r="AU6" s="21">
        <v>84</v>
      </c>
      <c r="AV6" s="21">
        <v>39</v>
      </c>
      <c r="AW6" s="21">
        <v>45</v>
      </c>
      <c r="AX6" s="21">
        <v>61</v>
      </c>
      <c r="AY6" s="21">
        <v>27</v>
      </c>
      <c r="AZ6" s="21">
        <v>34</v>
      </c>
      <c r="BA6" s="21">
        <v>39</v>
      </c>
      <c r="BB6" s="21">
        <v>17</v>
      </c>
      <c r="BC6" s="21">
        <v>22</v>
      </c>
      <c r="BD6" s="21">
        <v>11</v>
      </c>
      <c r="BE6" s="21">
        <v>6</v>
      </c>
      <c r="BF6" s="21">
        <v>5</v>
      </c>
      <c r="BG6" s="21">
        <v>6</v>
      </c>
      <c r="BH6" s="21">
        <v>1</v>
      </c>
      <c r="BI6" s="21">
        <v>5</v>
      </c>
      <c r="BJ6" s="21">
        <v>0</v>
      </c>
      <c r="BK6" s="21">
        <v>0</v>
      </c>
      <c r="BL6" s="21">
        <v>0</v>
      </c>
    </row>
    <row r="7" spans="1:64" ht="14.25" customHeight="1" x14ac:dyDescent="0.55000000000000004">
      <c r="A7" s="21">
        <v>4</v>
      </c>
      <c r="B7" s="21">
        <v>2797</v>
      </c>
      <c r="C7" s="21">
        <f t="shared" ref="C7:D7" si="3">SUM(F7,I7,L7,O7,R7,U7,X7,AA7,AD7,AG7,AJ7,AM7,AP7,AS7,AV7,AY7,BB7,BE7,BH7,BK7)</f>
        <v>1267</v>
      </c>
      <c r="D7" s="21">
        <f t="shared" si="3"/>
        <v>1530</v>
      </c>
      <c r="E7" s="21">
        <v>240</v>
      </c>
      <c r="F7" s="21">
        <v>125</v>
      </c>
      <c r="G7" s="21">
        <v>115</v>
      </c>
      <c r="H7" s="21">
        <v>234</v>
      </c>
      <c r="I7" s="21">
        <v>103</v>
      </c>
      <c r="J7" s="21">
        <v>131</v>
      </c>
      <c r="K7" s="21">
        <v>237</v>
      </c>
      <c r="L7" s="21">
        <v>116</v>
      </c>
      <c r="M7" s="21">
        <v>121</v>
      </c>
      <c r="N7" s="21">
        <v>304</v>
      </c>
      <c r="O7" s="21">
        <v>133</v>
      </c>
      <c r="P7" s="21">
        <v>171</v>
      </c>
      <c r="Q7" s="21">
        <v>284</v>
      </c>
      <c r="R7" s="21">
        <v>110</v>
      </c>
      <c r="S7" s="21">
        <v>174</v>
      </c>
      <c r="T7" s="21">
        <v>190</v>
      </c>
      <c r="U7" s="21">
        <v>67</v>
      </c>
      <c r="V7" s="21">
        <v>123</v>
      </c>
      <c r="W7" s="21">
        <v>163</v>
      </c>
      <c r="X7" s="21">
        <v>71</v>
      </c>
      <c r="Y7" s="21">
        <v>92</v>
      </c>
      <c r="Z7" s="21">
        <v>160</v>
      </c>
      <c r="AA7" s="21">
        <v>70</v>
      </c>
      <c r="AB7" s="21">
        <v>90</v>
      </c>
      <c r="AC7" s="21">
        <v>183</v>
      </c>
      <c r="AD7" s="21">
        <v>86</v>
      </c>
      <c r="AE7" s="21">
        <v>97</v>
      </c>
      <c r="AF7" s="21">
        <v>182</v>
      </c>
      <c r="AG7" s="21">
        <v>82</v>
      </c>
      <c r="AH7" s="21">
        <v>100</v>
      </c>
      <c r="AI7" s="21">
        <v>142</v>
      </c>
      <c r="AJ7" s="21">
        <v>68</v>
      </c>
      <c r="AK7" s="21">
        <v>74</v>
      </c>
      <c r="AL7" s="21">
        <v>127</v>
      </c>
      <c r="AM7" s="21">
        <v>65</v>
      </c>
      <c r="AN7" s="21">
        <v>62</v>
      </c>
      <c r="AO7" s="21">
        <v>127</v>
      </c>
      <c r="AP7" s="21">
        <v>63</v>
      </c>
      <c r="AQ7" s="21">
        <v>64</v>
      </c>
      <c r="AR7" s="21">
        <v>90</v>
      </c>
      <c r="AS7" s="21">
        <v>46</v>
      </c>
      <c r="AT7" s="21">
        <v>44</v>
      </c>
      <c r="AU7" s="21">
        <v>60</v>
      </c>
      <c r="AV7" s="21">
        <v>31</v>
      </c>
      <c r="AW7" s="21">
        <v>29</v>
      </c>
      <c r="AX7" s="21">
        <v>40</v>
      </c>
      <c r="AY7" s="21">
        <v>19</v>
      </c>
      <c r="AZ7" s="21">
        <v>21</v>
      </c>
      <c r="BA7" s="21">
        <v>24</v>
      </c>
      <c r="BB7" s="21">
        <v>9</v>
      </c>
      <c r="BC7" s="21">
        <v>15</v>
      </c>
      <c r="BD7" s="21">
        <v>8</v>
      </c>
      <c r="BE7" s="21">
        <v>3</v>
      </c>
      <c r="BF7" s="21">
        <v>5</v>
      </c>
      <c r="BG7" s="21">
        <v>2</v>
      </c>
      <c r="BH7" s="21">
        <v>0</v>
      </c>
      <c r="BI7" s="21">
        <v>2</v>
      </c>
      <c r="BJ7" s="21">
        <v>0</v>
      </c>
      <c r="BK7" s="21">
        <v>0</v>
      </c>
      <c r="BL7" s="21">
        <v>0</v>
      </c>
    </row>
    <row r="8" spans="1:64" ht="14.25" customHeight="1" x14ac:dyDescent="0.55000000000000004">
      <c r="A8" s="23">
        <v>5</v>
      </c>
      <c r="B8" s="23">
        <v>3160</v>
      </c>
      <c r="C8" s="23">
        <f t="shared" ref="C8:D8" si="4">SUM(F8,I8,L8,O8,R8,U8,X8,AA8,AD8,AG8,AJ8,AM8,AP8,AS8,AV8,AY8,BB8,BE8,BH8,BK8)</f>
        <v>1472</v>
      </c>
      <c r="D8" s="23">
        <f t="shared" si="4"/>
        <v>1688</v>
      </c>
      <c r="E8" s="23">
        <v>271</v>
      </c>
      <c r="F8" s="23">
        <v>141</v>
      </c>
      <c r="G8" s="23">
        <v>130</v>
      </c>
      <c r="H8" s="23">
        <v>244</v>
      </c>
      <c r="I8" s="23">
        <v>111</v>
      </c>
      <c r="J8" s="23">
        <v>133</v>
      </c>
      <c r="K8" s="23">
        <v>255</v>
      </c>
      <c r="L8" s="23">
        <v>128</v>
      </c>
      <c r="M8" s="23">
        <v>127</v>
      </c>
      <c r="N8" s="23">
        <v>285</v>
      </c>
      <c r="O8" s="23">
        <v>147</v>
      </c>
      <c r="P8" s="23">
        <v>138</v>
      </c>
      <c r="Q8" s="23">
        <v>292</v>
      </c>
      <c r="R8" s="23">
        <v>117</v>
      </c>
      <c r="S8" s="23">
        <v>175</v>
      </c>
      <c r="T8" s="23">
        <v>215</v>
      </c>
      <c r="U8" s="23">
        <v>84</v>
      </c>
      <c r="V8" s="23">
        <v>131</v>
      </c>
      <c r="W8" s="23">
        <v>234</v>
      </c>
      <c r="X8" s="23">
        <v>98</v>
      </c>
      <c r="Y8" s="23">
        <v>136</v>
      </c>
      <c r="Z8" s="23">
        <v>221</v>
      </c>
      <c r="AA8" s="23">
        <v>98</v>
      </c>
      <c r="AB8" s="23">
        <v>123</v>
      </c>
      <c r="AC8" s="23">
        <v>196</v>
      </c>
      <c r="AD8" s="23">
        <v>91</v>
      </c>
      <c r="AE8" s="23">
        <v>105</v>
      </c>
      <c r="AF8" s="23">
        <v>186</v>
      </c>
      <c r="AG8" s="23">
        <v>86</v>
      </c>
      <c r="AH8" s="23">
        <v>100</v>
      </c>
      <c r="AI8" s="23">
        <v>169</v>
      </c>
      <c r="AJ8" s="23">
        <v>76</v>
      </c>
      <c r="AK8" s="23">
        <v>93</v>
      </c>
      <c r="AL8" s="23">
        <v>161</v>
      </c>
      <c r="AM8" s="23">
        <v>81</v>
      </c>
      <c r="AN8" s="23">
        <v>80</v>
      </c>
      <c r="AO8" s="23">
        <v>131</v>
      </c>
      <c r="AP8" s="23">
        <v>68</v>
      </c>
      <c r="AQ8" s="23">
        <v>63</v>
      </c>
      <c r="AR8" s="23">
        <v>105</v>
      </c>
      <c r="AS8" s="23">
        <v>52</v>
      </c>
      <c r="AT8" s="23">
        <v>53</v>
      </c>
      <c r="AU8" s="23">
        <v>75</v>
      </c>
      <c r="AV8" s="23">
        <v>39</v>
      </c>
      <c r="AW8" s="23">
        <v>36</v>
      </c>
      <c r="AX8" s="23">
        <v>50</v>
      </c>
      <c r="AY8" s="23">
        <v>24</v>
      </c>
      <c r="AZ8" s="23">
        <v>26</v>
      </c>
      <c r="BA8" s="23">
        <v>47</v>
      </c>
      <c r="BB8" s="23">
        <v>21</v>
      </c>
      <c r="BC8" s="23">
        <v>26</v>
      </c>
      <c r="BD8" s="23">
        <v>16</v>
      </c>
      <c r="BE8" s="23">
        <v>7</v>
      </c>
      <c r="BF8" s="23">
        <v>9</v>
      </c>
      <c r="BG8" s="23">
        <v>7</v>
      </c>
      <c r="BH8" s="23">
        <v>3</v>
      </c>
      <c r="BI8" s="23">
        <v>4</v>
      </c>
      <c r="BJ8" s="23">
        <v>0</v>
      </c>
      <c r="BK8" s="23">
        <v>0</v>
      </c>
      <c r="BL8" s="23">
        <v>0</v>
      </c>
    </row>
    <row r="9" spans="1:64" ht="14.25" customHeight="1" x14ac:dyDescent="0.55000000000000004">
      <c r="A9" s="21">
        <v>6</v>
      </c>
      <c r="B9" s="21">
        <v>2511</v>
      </c>
      <c r="C9" s="21">
        <f t="shared" ref="C9:D9" si="5">SUM(F9,I9,L9,O9,R9,U9,X9,AA9,AD9,AG9,AJ9,AM9,AP9,AS9,AV9,AY9,BB9,BE9,BH9,BK9)</f>
        <v>1193</v>
      </c>
      <c r="D9" s="21">
        <f t="shared" si="5"/>
        <v>1318</v>
      </c>
      <c r="E9" s="21">
        <v>207</v>
      </c>
      <c r="F9" s="21">
        <v>108</v>
      </c>
      <c r="G9" s="21">
        <v>99</v>
      </c>
      <c r="H9" s="21">
        <v>191</v>
      </c>
      <c r="I9" s="21">
        <v>104</v>
      </c>
      <c r="J9" s="21">
        <v>87</v>
      </c>
      <c r="K9" s="21">
        <v>197</v>
      </c>
      <c r="L9" s="21">
        <v>102</v>
      </c>
      <c r="M9" s="21">
        <v>95</v>
      </c>
      <c r="N9" s="21">
        <v>253</v>
      </c>
      <c r="O9" s="21">
        <v>121</v>
      </c>
      <c r="P9" s="21">
        <v>132</v>
      </c>
      <c r="Q9" s="21">
        <v>238</v>
      </c>
      <c r="R9" s="21">
        <v>96</v>
      </c>
      <c r="S9" s="21">
        <v>142</v>
      </c>
      <c r="T9" s="21">
        <v>170</v>
      </c>
      <c r="U9" s="21">
        <v>77</v>
      </c>
      <c r="V9" s="21">
        <v>93</v>
      </c>
      <c r="W9" s="21">
        <v>172</v>
      </c>
      <c r="X9" s="21">
        <v>71</v>
      </c>
      <c r="Y9" s="21">
        <v>101</v>
      </c>
      <c r="Z9" s="21">
        <v>173</v>
      </c>
      <c r="AA9" s="21">
        <v>77</v>
      </c>
      <c r="AB9" s="21">
        <v>96</v>
      </c>
      <c r="AC9" s="21">
        <v>149</v>
      </c>
      <c r="AD9" s="21">
        <v>68</v>
      </c>
      <c r="AE9" s="21">
        <v>81</v>
      </c>
      <c r="AF9" s="21">
        <v>148</v>
      </c>
      <c r="AG9" s="21">
        <v>70</v>
      </c>
      <c r="AH9" s="21">
        <v>78</v>
      </c>
      <c r="AI9" s="21">
        <v>139</v>
      </c>
      <c r="AJ9" s="21">
        <v>70</v>
      </c>
      <c r="AK9" s="21">
        <v>69</v>
      </c>
      <c r="AL9" s="21">
        <v>113</v>
      </c>
      <c r="AM9" s="21">
        <v>60</v>
      </c>
      <c r="AN9" s="21">
        <v>53</v>
      </c>
      <c r="AO9" s="21">
        <v>99</v>
      </c>
      <c r="AP9" s="21">
        <v>49</v>
      </c>
      <c r="AQ9" s="21">
        <v>50</v>
      </c>
      <c r="AR9" s="21">
        <v>77</v>
      </c>
      <c r="AS9" s="21">
        <v>31</v>
      </c>
      <c r="AT9" s="21">
        <v>46</v>
      </c>
      <c r="AU9" s="21">
        <v>77</v>
      </c>
      <c r="AV9" s="21">
        <v>36</v>
      </c>
      <c r="AW9" s="21">
        <v>41</v>
      </c>
      <c r="AX9" s="21">
        <v>59</v>
      </c>
      <c r="AY9" s="21">
        <v>30</v>
      </c>
      <c r="AZ9" s="21">
        <v>29</v>
      </c>
      <c r="BA9" s="21">
        <v>31</v>
      </c>
      <c r="BB9" s="21">
        <v>14</v>
      </c>
      <c r="BC9" s="21">
        <v>17</v>
      </c>
      <c r="BD9" s="21">
        <v>12</v>
      </c>
      <c r="BE9" s="21">
        <v>6</v>
      </c>
      <c r="BF9" s="21">
        <v>6</v>
      </c>
      <c r="BG9" s="21">
        <v>6</v>
      </c>
      <c r="BH9" s="21">
        <v>3</v>
      </c>
      <c r="BI9" s="21">
        <v>3</v>
      </c>
      <c r="BJ9" s="21">
        <v>0</v>
      </c>
      <c r="BK9" s="21">
        <v>0</v>
      </c>
      <c r="BL9" s="21">
        <v>0</v>
      </c>
    </row>
    <row r="10" spans="1:64" ht="14.25" customHeight="1" x14ac:dyDescent="0.55000000000000004">
      <c r="A10" s="23">
        <v>7</v>
      </c>
      <c r="B10" s="23">
        <v>4530</v>
      </c>
      <c r="C10" s="23">
        <f t="shared" ref="C10:D10" si="6">SUM(F10,I10,L10,O10,R10,U10,X10,AA10,AD10,AG10,AJ10,AM10,AP10,AS10,AV10,AY10,BB10,BE10,BH10,BK10)</f>
        <v>2165</v>
      </c>
      <c r="D10" s="23">
        <f t="shared" si="6"/>
        <v>2365</v>
      </c>
      <c r="E10" s="23">
        <v>395</v>
      </c>
      <c r="F10" s="23">
        <v>205</v>
      </c>
      <c r="G10" s="23">
        <v>190</v>
      </c>
      <c r="H10" s="23">
        <v>369</v>
      </c>
      <c r="I10" s="23">
        <v>189</v>
      </c>
      <c r="J10" s="23">
        <v>180</v>
      </c>
      <c r="K10" s="23">
        <v>353</v>
      </c>
      <c r="L10" s="23">
        <v>188</v>
      </c>
      <c r="M10" s="23">
        <v>165</v>
      </c>
      <c r="N10" s="23">
        <v>409</v>
      </c>
      <c r="O10" s="23">
        <v>199</v>
      </c>
      <c r="P10" s="23">
        <v>210</v>
      </c>
      <c r="Q10" s="23">
        <v>381</v>
      </c>
      <c r="R10" s="23">
        <v>174</v>
      </c>
      <c r="S10" s="23">
        <v>207</v>
      </c>
      <c r="T10" s="23">
        <v>356</v>
      </c>
      <c r="U10" s="23">
        <v>145</v>
      </c>
      <c r="V10" s="23">
        <v>211</v>
      </c>
      <c r="W10" s="23">
        <v>369</v>
      </c>
      <c r="X10" s="23">
        <v>161</v>
      </c>
      <c r="Y10" s="23">
        <v>208</v>
      </c>
      <c r="Z10" s="23">
        <v>333</v>
      </c>
      <c r="AA10" s="23">
        <v>145</v>
      </c>
      <c r="AB10" s="23">
        <v>188</v>
      </c>
      <c r="AC10" s="23">
        <v>299</v>
      </c>
      <c r="AD10" s="23">
        <v>138</v>
      </c>
      <c r="AE10" s="23">
        <v>161</v>
      </c>
      <c r="AF10" s="23">
        <v>257</v>
      </c>
      <c r="AG10" s="23">
        <v>128</v>
      </c>
      <c r="AH10" s="23">
        <v>129</v>
      </c>
      <c r="AI10" s="23">
        <v>213</v>
      </c>
      <c r="AJ10" s="23">
        <v>105</v>
      </c>
      <c r="AK10" s="23">
        <v>108</v>
      </c>
      <c r="AL10" s="23">
        <v>224</v>
      </c>
      <c r="AM10" s="23">
        <v>112</v>
      </c>
      <c r="AN10" s="23">
        <v>112</v>
      </c>
      <c r="AO10" s="23">
        <v>172</v>
      </c>
      <c r="AP10" s="23">
        <v>87</v>
      </c>
      <c r="AQ10" s="23">
        <v>85</v>
      </c>
      <c r="AR10" s="23">
        <v>131</v>
      </c>
      <c r="AS10" s="23">
        <v>64</v>
      </c>
      <c r="AT10" s="23">
        <v>67</v>
      </c>
      <c r="AU10" s="23">
        <v>121</v>
      </c>
      <c r="AV10" s="23">
        <v>62</v>
      </c>
      <c r="AW10" s="23">
        <v>59</v>
      </c>
      <c r="AX10" s="23">
        <v>87</v>
      </c>
      <c r="AY10" s="23">
        <v>41</v>
      </c>
      <c r="AZ10" s="23">
        <v>46</v>
      </c>
      <c r="BA10" s="23">
        <v>42</v>
      </c>
      <c r="BB10" s="23">
        <v>17</v>
      </c>
      <c r="BC10" s="23">
        <v>25</v>
      </c>
      <c r="BD10" s="23">
        <v>14</v>
      </c>
      <c r="BE10" s="23">
        <v>5</v>
      </c>
      <c r="BF10" s="23">
        <v>9</v>
      </c>
      <c r="BG10" s="23">
        <v>5</v>
      </c>
      <c r="BH10" s="23">
        <v>0</v>
      </c>
      <c r="BI10" s="23">
        <v>5</v>
      </c>
      <c r="BJ10" s="23">
        <v>0</v>
      </c>
      <c r="BK10" s="23">
        <v>0</v>
      </c>
      <c r="BL10" s="23">
        <v>0</v>
      </c>
    </row>
    <row r="11" spans="1:64" ht="14.25" customHeight="1" x14ac:dyDescent="0.55000000000000004">
      <c r="A11" s="23">
        <v>8</v>
      </c>
      <c r="B11" s="23">
        <v>2817</v>
      </c>
      <c r="C11" s="23">
        <f t="shared" ref="C11:D11" si="7">SUM(F11,I11,L11,O11,R11,U11,X11,AA11,AD11,AG11,AJ11,AM11,AP11,AS11,AV11,AY11,BB11,BE11,BH11,BK11)</f>
        <v>1314</v>
      </c>
      <c r="D11" s="23">
        <f t="shared" si="7"/>
        <v>1503</v>
      </c>
      <c r="E11" s="23">
        <v>219</v>
      </c>
      <c r="F11" s="23">
        <v>114</v>
      </c>
      <c r="G11" s="23">
        <v>105</v>
      </c>
      <c r="H11" s="23">
        <v>206</v>
      </c>
      <c r="I11" s="23">
        <v>112</v>
      </c>
      <c r="J11" s="23">
        <v>94</v>
      </c>
      <c r="K11" s="23">
        <v>202</v>
      </c>
      <c r="L11" s="23">
        <v>104</v>
      </c>
      <c r="M11" s="23">
        <v>98</v>
      </c>
      <c r="N11" s="23">
        <v>220</v>
      </c>
      <c r="O11" s="23">
        <v>112</v>
      </c>
      <c r="P11" s="23">
        <v>108</v>
      </c>
      <c r="Q11" s="23">
        <v>206</v>
      </c>
      <c r="R11" s="23">
        <v>88</v>
      </c>
      <c r="S11" s="23">
        <v>118</v>
      </c>
      <c r="T11" s="23">
        <v>178</v>
      </c>
      <c r="U11" s="23">
        <v>70</v>
      </c>
      <c r="V11" s="23">
        <v>108</v>
      </c>
      <c r="W11" s="23">
        <v>177</v>
      </c>
      <c r="X11" s="23">
        <v>68</v>
      </c>
      <c r="Y11" s="23">
        <v>109</v>
      </c>
      <c r="Z11" s="23">
        <v>186</v>
      </c>
      <c r="AA11" s="23">
        <v>71</v>
      </c>
      <c r="AB11" s="23">
        <v>115</v>
      </c>
      <c r="AC11" s="23">
        <v>187</v>
      </c>
      <c r="AD11" s="23">
        <v>87</v>
      </c>
      <c r="AE11" s="23">
        <v>100</v>
      </c>
      <c r="AF11" s="23">
        <v>187</v>
      </c>
      <c r="AG11" s="23">
        <v>81</v>
      </c>
      <c r="AH11" s="23">
        <v>106</v>
      </c>
      <c r="AI11" s="23">
        <v>194</v>
      </c>
      <c r="AJ11" s="23">
        <v>97</v>
      </c>
      <c r="AK11" s="23">
        <v>97</v>
      </c>
      <c r="AL11" s="23">
        <v>179</v>
      </c>
      <c r="AM11" s="23">
        <v>87</v>
      </c>
      <c r="AN11" s="23">
        <v>92</v>
      </c>
      <c r="AO11" s="23">
        <v>156</v>
      </c>
      <c r="AP11" s="23">
        <v>69</v>
      </c>
      <c r="AQ11" s="23">
        <v>87</v>
      </c>
      <c r="AR11" s="23">
        <v>117</v>
      </c>
      <c r="AS11" s="23">
        <v>61</v>
      </c>
      <c r="AT11" s="23">
        <v>56</v>
      </c>
      <c r="AU11" s="23">
        <v>91</v>
      </c>
      <c r="AV11" s="23">
        <v>44</v>
      </c>
      <c r="AW11" s="23">
        <v>47</v>
      </c>
      <c r="AX11" s="23">
        <v>63</v>
      </c>
      <c r="AY11" s="23">
        <v>27</v>
      </c>
      <c r="AZ11" s="23">
        <v>36</v>
      </c>
      <c r="BA11" s="23">
        <v>37</v>
      </c>
      <c r="BB11" s="23">
        <v>18</v>
      </c>
      <c r="BC11" s="23">
        <v>19</v>
      </c>
      <c r="BD11" s="23">
        <v>8</v>
      </c>
      <c r="BE11" s="23">
        <v>2</v>
      </c>
      <c r="BF11" s="23">
        <v>6</v>
      </c>
      <c r="BG11" s="23">
        <v>3</v>
      </c>
      <c r="BH11" s="23">
        <v>2</v>
      </c>
      <c r="BI11" s="23">
        <v>1</v>
      </c>
      <c r="BJ11" s="23">
        <v>1</v>
      </c>
      <c r="BK11" s="23">
        <v>0</v>
      </c>
      <c r="BL11" s="23">
        <v>1</v>
      </c>
    </row>
    <row r="12" spans="1:64" ht="14.25" customHeight="1" x14ac:dyDescent="0.55000000000000004">
      <c r="A12" s="21">
        <v>9</v>
      </c>
      <c r="B12" s="21">
        <v>2473</v>
      </c>
      <c r="C12" s="21">
        <f t="shared" ref="C12:D12" si="8">SUM(F12,I12,L12,O12,R12,U12,X12,AA12,AD12,AG12,AJ12,AM12,AP12,AS12,AV12,AY12,BB12,BE12,BH12,BK12)</f>
        <v>1134</v>
      </c>
      <c r="D12" s="21">
        <f t="shared" si="8"/>
        <v>1339</v>
      </c>
      <c r="E12" s="21">
        <v>194</v>
      </c>
      <c r="F12" s="21">
        <v>101</v>
      </c>
      <c r="G12" s="21">
        <v>93</v>
      </c>
      <c r="H12" s="21">
        <v>162</v>
      </c>
      <c r="I12" s="21">
        <v>66</v>
      </c>
      <c r="J12" s="21">
        <v>96</v>
      </c>
      <c r="K12" s="21">
        <v>210</v>
      </c>
      <c r="L12" s="21">
        <v>97</v>
      </c>
      <c r="M12" s="21">
        <v>113</v>
      </c>
      <c r="N12" s="21">
        <v>237</v>
      </c>
      <c r="O12" s="21">
        <v>116</v>
      </c>
      <c r="P12" s="21">
        <v>121</v>
      </c>
      <c r="Q12" s="21">
        <v>214</v>
      </c>
      <c r="R12" s="21">
        <v>93</v>
      </c>
      <c r="S12" s="21">
        <v>121</v>
      </c>
      <c r="T12" s="21">
        <v>147</v>
      </c>
      <c r="U12" s="21">
        <v>58</v>
      </c>
      <c r="V12" s="21">
        <v>89</v>
      </c>
      <c r="W12" s="21">
        <v>172</v>
      </c>
      <c r="X12" s="21">
        <v>72</v>
      </c>
      <c r="Y12" s="21">
        <v>100</v>
      </c>
      <c r="Z12" s="21">
        <v>167</v>
      </c>
      <c r="AA12" s="21">
        <v>75</v>
      </c>
      <c r="AB12" s="21">
        <v>92</v>
      </c>
      <c r="AC12" s="21">
        <v>169</v>
      </c>
      <c r="AD12" s="21">
        <v>80</v>
      </c>
      <c r="AE12" s="21">
        <v>89</v>
      </c>
      <c r="AF12" s="21">
        <v>161</v>
      </c>
      <c r="AG12" s="21">
        <v>77</v>
      </c>
      <c r="AH12" s="21">
        <v>84</v>
      </c>
      <c r="AI12" s="21">
        <v>122</v>
      </c>
      <c r="AJ12" s="21">
        <v>58</v>
      </c>
      <c r="AK12" s="21">
        <v>64</v>
      </c>
      <c r="AL12" s="21">
        <v>120</v>
      </c>
      <c r="AM12" s="21">
        <v>51</v>
      </c>
      <c r="AN12" s="21">
        <v>69</v>
      </c>
      <c r="AO12" s="21">
        <v>115</v>
      </c>
      <c r="AP12" s="21">
        <v>60</v>
      </c>
      <c r="AQ12" s="21">
        <v>55</v>
      </c>
      <c r="AR12" s="21">
        <v>106</v>
      </c>
      <c r="AS12" s="21">
        <v>52</v>
      </c>
      <c r="AT12" s="21">
        <v>54</v>
      </c>
      <c r="AU12" s="21">
        <v>79</v>
      </c>
      <c r="AV12" s="21">
        <v>35</v>
      </c>
      <c r="AW12" s="21">
        <v>44</v>
      </c>
      <c r="AX12" s="21">
        <v>54</v>
      </c>
      <c r="AY12" s="21">
        <v>24</v>
      </c>
      <c r="AZ12" s="21">
        <v>30</v>
      </c>
      <c r="BA12" s="21">
        <v>27</v>
      </c>
      <c r="BB12" s="21">
        <v>12</v>
      </c>
      <c r="BC12" s="21">
        <v>15</v>
      </c>
      <c r="BD12" s="21">
        <v>10</v>
      </c>
      <c r="BE12" s="21">
        <v>5</v>
      </c>
      <c r="BF12" s="21">
        <v>5</v>
      </c>
      <c r="BG12" s="21">
        <v>7</v>
      </c>
      <c r="BH12" s="21">
        <v>2</v>
      </c>
      <c r="BI12" s="21">
        <v>5</v>
      </c>
      <c r="BJ12" s="21">
        <v>0</v>
      </c>
      <c r="BK12" s="21">
        <v>0</v>
      </c>
      <c r="BL12" s="21">
        <v>0</v>
      </c>
    </row>
    <row r="13" spans="1:64" ht="14.25" customHeight="1" x14ac:dyDescent="0.55000000000000004">
      <c r="A13" s="21">
        <v>10</v>
      </c>
      <c r="B13" s="21">
        <v>2808</v>
      </c>
      <c r="C13" s="21">
        <f t="shared" ref="C13:D13" si="9">SUM(F13,I13,L13,O13,R13,U13,X13,AA13,AD13,AG13,AJ13,AM13,AP13,AS13,AV13,AY13,BB13,BE13,BH13,BK13)</f>
        <v>1321</v>
      </c>
      <c r="D13" s="21">
        <f t="shared" si="9"/>
        <v>1487</v>
      </c>
      <c r="E13" s="21">
        <v>231</v>
      </c>
      <c r="F13" s="21">
        <v>120</v>
      </c>
      <c r="G13" s="21">
        <v>111</v>
      </c>
      <c r="H13" s="21">
        <v>207</v>
      </c>
      <c r="I13" s="21">
        <v>110</v>
      </c>
      <c r="J13" s="21">
        <v>97</v>
      </c>
      <c r="K13" s="21">
        <v>231</v>
      </c>
      <c r="L13" s="21">
        <v>103</v>
      </c>
      <c r="M13" s="21">
        <v>128</v>
      </c>
      <c r="N13" s="21">
        <v>249</v>
      </c>
      <c r="O13" s="21">
        <v>126</v>
      </c>
      <c r="P13" s="21">
        <v>123</v>
      </c>
      <c r="Q13" s="21">
        <v>215</v>
      </c>
      <c r="R13" s="21">
        <v>94</v>
      </c>
      <c r="S13" s="21">
        <v>121</v>
      </c>
      <c r="T13" s="21">
        <v>187</v>
      </c>
      <c r="U13" s="21">
        <v>71</v>
      </c>
      <c r="V13" s="21">
        <v>116</v>
      </c>
      <c r="W13" s="21">
        <v>214</v>
      </c>
      <c r="X13" s="21">
        <v>83</v>
      </c>
      <c r="Y13" s="21">
        <v>131</v>
      </c>
      <c r="Z13" s="21">
        <v>205</v>
      </c>
      <c r="AA13" s="21">
        <v>86</v>
      </c>
      <c r="AB13" s="21">
        <v>119</v>
      </c>
      <c r="AC13" s="21">
        <v>208</v>
      </c>
      <c r="AD13" s="21">
        <v>94</v>
      </c>
      <c r="AE13" s="21">
        <v>114</v>
      </c>
      <c r="AF13" s="21">
        <v>175</v>
      </c>
      <c r="AG13" s="21">
        <v>92</v>
      </c>
      <c r="AH13" s="21">
        <v>83</v>
      </c>
      <c r="AI13" s="21">
        <v>158</v>
      </c>
      <c r="AJ13" s="21">
        <v>78</v>
      </c>
      <c r="AK13" s="21">
        <v>80</v>
      </c>
      <c r="AL13" s="21">
        <v>153</v>
      </c>
      <c r="AM13" s="21">
        <v>79</v>
      </c>
      <c r="AN13" s="21">
        <v>74</v>
      </c>
      <c r="AO13" s="21">
        <v>116</v>
      </c>
      <c r="AP13" s="21">
        <v>62</v>
      </c>
      <c r="AQ13" s="21">
        <v>54</v>
      </c>
      <c r="AR13" s="21">
        <v>100</v>
      </c>
      <c r="AS13" s="21">
        <v>50</v>
      </c>
      <c r="AT13" s="21">
        <v>50</v>
      </c>
      <c r="AU13" s="21">
        <v>68</v>
      </c>
      <c r="AV13" s="21">
        <v>31</v>
      </c>
      <c r="AW13" s="21">
        <v>37</v>
      </c>
      <c r="AX13" s="21">
        <v>50</v>
      </c>
      <c r="AY13" s="21">
        <v>23</v>
      </c>
      <c r="AZ13" s="21">
        <v>27</v>
      </c>
      <c r="BA13" s="21">
        <v>23</v>
      </c>
      <c r="BB13" s="21">
        <v>10</v>
      </c>
      <c r="BC13" s="21">
        <v>13</v>
      </c>
      <c r="BD13" s="21">
        <v>12</v>
      </c>
      <c r="BE13" s="21">
        <v>5</v>
      </c>
      <c r="BF13" s="21">
        <v>7</v>
      </c>
      <c r="BG13" s="21">
        <v>6</v>
      </c>
      <c r="BH13" s="21">
        <v>4</v>
      </c>
      <c r="BI13" s="21">
        <v>2</v>
      </c>
      <c r="BJ13" s="21">
        <v>0</v>
      </c>
      <c r="BK13" s="21">
        <v>0</v>
      </c>
      <c r="BL13" s="21">
        <v>0</v>
      </c>
    </row>
    <row r="14" spans="1:64" ht="14.25" customHeight="1" x14ac:dyDescent="0.55000000000000004">
      <c r="A14" s="21">
        <v>11</v>
      </c>
      <c r="B14" s="21">
        <v>2399</v>
      </c>
      <c r="C14" s="21">
        <f t="shared" ref="C14:D14" si="10">SUM(F14,I14,L14,O14,R14,U14,X14,AA14,AD14,AG14,AJ14,AM14,AP14,AS14,AV14,AY14,BB14,BE14,BH14,BK14)</f>
        <v>1066</v>
      </c>
      <c r="D14" s="21">
        <f t="shared" si="10"/>
        <v>1333</v>
      </c>
      <c r="E14" s="21">
        <v>186</v>
      </c>
      <c r="F14" s="21">
        <v>97</v>
      </c>
      <c r="G14" s="21">
        <v>89</v>
      </c>
      <c r="H14" s="21">
        <v>177</v>
      </c>
      <c r="I14" s="21">
        <v>91</v>
      </c>
      <c r="J14" s="21">
        <v>86</v>
      </c>
      <c r="K14" s="21">
        <v>200</v>
      </c>
      <c r="L14" s="21">
        <v>103</v>
      </c>
      <c r="M14" s="21">
        <v>97</v>
      </c>
      <c r="N14" s="21">
        <v>233</v>
      </c>
      <c r="O14" s="21">
        <v>109</v>
      </c>
      <c r="P14" s="21">
        <v>124</v>
      </c>
      <c r="Q14" s="21">
        <v>185</v>
      </c>
      <c r="R14" s="21">
        <v>70</v>
      </c>
      <c r="S14" s="21">
        <v>115</v>
      </c>
      <c r="T14" s="21">
        <v>122</v>
      </c>
      <c r="U14" s="21">
        <v>39</v>
      </c>
      <c r="V14" s="21">
        <v>83</v>
      </c>
      <c r="W14" s="21">
        <v>155</v>
      </c>
      <c r="X14" s="21">
        <v>54</v>
      </c>
      <c r="Y14" s="21">
        <v>101</v>
      </c>
      <c r="Z14" s="21">
        <v>150</v>
      </c>
      <c r="AA14" s="21">
        <v>56</v>
      </c>
      <c r="AB14" s="21">
        <v>94</v>
      </c>
      <c r="AC14" s="21">
        <v>142</v>
      </c>
      <c r="AD14" s="21">
        <v>54</v>
      </c>
      <c r="AE14" s="21">
        <v>88</v>
      </c>
      <c r="AF14" s="21">
        <v>145</v>
      </c>
      <c r="AG14" s="21">
        <v>61</v>
      </c>
      <c r="AH14" s="21">
        <v>84</v>
      </c>
      <c r="AI14" s="21">
        <v>146</v>
      </c>
      <c r="AJ14" s="21">
        <v>70</v>
      </c>
      <c r="AK14" s="21">
        <v>76</v>
      </c>
      <c r="AL14" s="21">
        <v>161</v>
      </c>
      <c r="AM14" s="21">
        <v>72</v>
      </c>
      <c r="AN14" s="21">
        <v>89</v>
      </c>
      <c r="AO14" s="21">
        <v>127</v>
      </c>
      <c r="AP14" s="21">
        <v>56</v>
      </c>
      <c r="AQ14" s="21">
        <v>71</v>
      </c>
      <c r="AR14" s="21">
        <v>106</v>
      </c>
      <c r="AS14" s="21">
        <v>51</v>
      </c>
      <c r="AT14" s="21">
        <v>55</v>
      </c>
      <c r="AU14" s="21">
        <v>75</v>
      </c>
      <c r="AV14" s="21">
        <v>35</v>
      </c>
      <c r="AW14" s="21">
        <v>40</v>
      </c>
      <c r="AX14" s="21">
        <v>45</v>
      </c>
      <c r="AY14" s="21">
        <v>26</v>
      </c>
      <c r="AZ14" s="21">
        <v>19</v>
      </c>
      <c r="BA14" s="21">
        <v>26</v>
      </c>
      <c r="BB14" s="21">
        <v>13</v>
      </c>
      <c r="BC14" s="21">
        <v>13</v>
      </c>
      <c r="BD14" s="21">
        <v>10</v>
      </c>
      <c r="BE14" s="21">
        <v>5</v>
      </c>
      <c r="BF14" s="21">
        <v>5</v>
      </c>
      <c r="BG14" s="21">
        <v>8</v>
      </c>
      <c r="BH14" s="21">
        <v>4</v>
      </c>
      <c r="BI14" s="21">
        <v>4</v>
      </c>
      <c r="BJ14" s="21">
        <v>0</v>
      </c>
      <c r="BK14" s="21">
        <v>0</v>
      </c>
      <c r="BL14" s="21">
        <v>0</v>
      </c>
    </row>
    <row r="15" spans="1:64" ht="14.25" customHeight="1" x14ac:dyDescent="0.55000000000000004">
      <c r="A15" s="21">
        <v>12</v>
      </c>
      <c r="B15" s="21">
        <v>1947</v>
      </c>
      <c r="C15" s="21">
        <f t="shared" ref="C15:D15" si="11">SUM(F15,I15,L15,O15,R15,U15,X15,AA15,AD15,AG15,AJ15,AM15,AP15,AS15,AV15,AY15,BB15,BE15,BH15,BK15)</f>
        <v>892</v>
      </c>
      <c r="D15" s="21">
        <f t="shared" si="11"/>
        <v>1055</v>
      </c>
      <c r="E15" s="21">
        <v>156</v>
      </c>
      <c r="F15" s="21">
        <v>81</v>
      </c>
      <c r="G15" s="21">
        <v>75</v>
      </c>
      <c r="H15" s="21">
        <v>142</v>
      </c>
      <c r="I15" s="21">
        <v>64</v>
      </c>
      <c r="J15" s="21">
        <v>78</v>
      </c>
      <c r="K15" s="21">
        <v>126</v>
      </c>
      <c r="L15" s="21">
        <v>66</v>
      </c>
      <c r="M15" s="21">
        <v>60</v>
      </c>
      <c r="N15" s="21">
        <v>116</v>
      </c>
      <c r="O15" s="21">
        <v>57</v>
      </c>
      <c r="P15" s="21">
        <v>59</v>
      </c>
      <c r="Q15" s="21">
        <v>141</v>
      </c>
      <c r="R15" s="21">
        <v>61</v>
      </c>
      <c r="S15" s="21">
        <v>80</v>
      </c>
      <c r="T15" s="21">
        <v>147</v>
      </c>
      <c r="U15" s="21">
        <v>54</v>
      </c>
      <c r="V15" s="21">
        <v>93</v>
      </c>
      <c r="W15" s="21">
        <v>147</v>
      </c>
      <c r="X15" s="21">
        <v>67</v>
      </c>
      <c r="Y15" s="21">
        <v>80</v>
      </c>
      <c r="Z15" s="21">
        <v>126</v>
      </c>
      <c r="AA15" s="21">
        <v>61</v>
      </c>
      <c r="AB15" s="21">
        <v>65</v>
      </c>
      <c r="AC15" s="21">
        <v>107</v>
      </c>
      <c r="AD15" s="21">
        <v>46</v>
      </c>
      <c r="AE15" s="21">
        <v>61</v>
      </c>
      <c r="AF15" s="21">
        <v>118</v>
      </c>
      <c r="AG15" s="21">
        <v>52</v>
      </c>
      <c r="AH15" s="21">
        <v>66</v>
      </c>
      <c r="AI15" s="21">
        <v>130</v>
      </c>
      <c r="AJ15" s="21">
        <v>56</v>
      </c>
      <c r="AK15" s="21">
        <v>74</v>
      </c>
      <c r="AL15" s="21">
        <v>142</v>
      </c>
      <c r="AM15" s="21">
        <v>68</v>
      </c>
      <c r="AN15" s="21">
        <v>74</v>
      </c>
      <c r="AO15" s="21">
        <v>101</v>
      </c>
      <c r="AP15" s="21">
        <v>49</v>
      </c>
      <c r="AQ15" s="21">
        <v>52</v>
      </c>
      <c r="AR15" s="21">
        <v>86</v>
      </c>
      <c r="AS15" s="21">
        <v>40</v>
      </c>
      <c r="AT15" s="21">
        <v>46</v>
      </c>
      <c r="AU15" s="21">
        <v>70</v>
      </c>
      <c r="AV15" s="21">
        <v>34</v>
      </c>
      <c r="AW15" s="21">
        <v>36</v>
      </c>
      <c r="AX15" s="21">
        <v>46</v>
      </c>
      <c r="AY15" s="21">
        <v>16</v>
      </c>
      <c r="AZ15" s="21">
        <v>30</v>
      </c>
      <c r="BA15" s="21">
        <v>30</v>
      </c>
      <c r="BB15" s="21">
        <v>13</v>
      </c>
      <c r="BC15" s="21">
        <v>17</v>
      </c>
      <c r="BD15" s="21">
        <v>11</v>
      </c>
      <c r="BE15" s="21">
        <v>5</v>
      </c>
      <c r="BF15" s="21">
        <v>6</v>
      </c>
      <c r="BG15" s="21">
        <v>5</v>
      </c>
      <c r="BH15" s="21">
        <v>2</v>
      </c>
      <c r="BI15" s="21">
        <v>3</v>
      </c>
      <c r="BJ15" s="21">
        <v>0</v>
      </c>
      <c r="BK15" s="21">
        <v>0</v>
      </c>
      <c r="BL15" s="21">
        <v>0</v>
      </c>
    </row>
    <row r="16" spans="1:64" ht="14.25" customHeight="1" x14ac:dyDescent="0.55000000000000004">
      <c r="A16" s="21">
        <v>13</v>
      </c>
      <c r="B16" s="21">
        <v>2648</v>
      </c>
      <c r="C16" s="21">
        <f t="shared" ref="C16:D16" si="12">SUM(F16,I16,L16,O16,R16,U16,X16,AA16,AD16,AG16,AJ16,AM16,AP16,AS16,AV16,AY16,BB16,BE16,BH16,BK16)</f>
        <v>1261</v>
      </c>
      <c r="D16" s="21">
        <f t="shared" si="12"/>
        <v>1387</v>
      </c>
      <c r="E16" s="21">
        <v>195</v>
      </c>
      <c r="F16" s="21">
        <v>102</v>
      </c>
      <c r="G16" s="21">
        <v>93</v>
      </c>
      <c r="H16" s="21">
        <v>169</v>
      </c>
      <c r="I16" s="21">
        <v>94</v>
      </c>
      <c r="J16" s="21">
        <v>75</v>
      </c>
      <c r="K16" s="21">
        <v>191</v>
      </c>
      <c r="L16" s="21">
        <v>101</v>
      </c>
      <c r="M16" s="21">
        <v>90</v>
      </c>
      <c r="N16" s="21">
        <v>236</v>
      </c>
      <c r="O16" s="21">
        <v>112</v>
      </c>
      <c r="P16" s="21">
        <v>124</v>
      </c>
      <c r="Q16" s="21">
        <v>226</v>
      </c>
      <c r="R16" s="21">
        <v>106</v>
      </c>
      <c r="S16" s="21">
        <v>120</v>
      </c>
      <c r="T16" s="21">
        <v>168</v>
      </c>
      <c r="U16" s="21">
        <v>70</v>
      </c>
      <c r="V16" s="21">
        <v>98</v>
      </c>
      <c r="W16" s="21">
        <v>178</v>
      </c>
      <c r="X16" s="21">
        <v>90</v>
      </c>
      <c r="Y16" s="21">
        <v>88</v>
      </c>
      <c r="Z16" s="21">
        <v>157</v>
      </c>
      <c r="AA16" s="21">
        <v>65</v>
      </c>
      <c r="AB16" s="21">
        <v>92</v>
      </c>
      <c r="AC16" s="21">
        <v>176</v>
      </c>
      <c r="AD16" s="21">
        <v>71</v>
      </c>
      <c r="AE16" s="21">
        <v>105</v>
      </c>
      <c r="AF16" s="21">
        <v>178</v>
      </c>
      <c r="AG16" s="21">
        <v>82</v>
      </c>
      <c r="AH16" s="21">
        <v>96</v>
      </c>
      <c r="AI16" s="21">
        <v>150</v>
      </c>
      <c r="AJ16" s="21">
        <v>71</v>
      </c>
      <c r="AK16" s="21">
        <v>79</v>
      </c>
      <c r="AL16" s="21">
        <v>158</v>
      </c>
      <c r="AM16" s="21">
        <v>76</v>
      </c>
      <c r="AN16" s="21">
        <v>82</v>
      </c>
      <c r="AO16" s="21">
        <v>132</v>
      </c>
      <c r="AP16" s="21">
        <v>67</v>
      </c>
      <c r="AQ16" s="21">
        <v>65</v>
      </c>
      <c r="AR16" s="21">
        <v>115</v>
      </c>
      <c r="AS16" s="21">
        <v>56</v>
      </c>
      <c r="AT16" s="21">
        <v>59</v>
      </c>
      <c r="AU16" s="21">
        <v>92</v>
      </c>
      <c r="AV16" s="21">
        <v>43</v>
      </c>
      <c r="AW16" s="21">
        <v>49</v>
      </c>
      <c r="AX16" s="21">
        <v>70</v>
      </c>
      <c r="AY16" s="21">
        <v>31</v>
      </c>
      <c r="AZ16" s="21">
        <v>39</v>
      </c>
      <c r="BA16" s="21">
        <v>37</v>
      </c>
      <c r="BB16" s="21">
        <v>15</v>
      </c>
      <c r="BC16" s="21">
        <v>22</v>
      </c>
      <c r="BD16" s="21">
        <v>12</v>
      </c>
      <c r="BE16" s="21">
        <v>5</v>
      </c>
      <c r="BF16" s="21">
        <v>7</v>
      </c>
      <c r="BG16" s="21">
        <v>7</v>
      </c>
      <c r="BH16" s="21">
        <v>4</v>
      </c>
      <c r="BI16" s="21">
        <v>3</v>
      </c>
      <c r="BJ16" s="21">
        <v>1</v>
      </c>
      <c r="BK16" s="21">
        <v>0</v>
      </c>
      <c r="BL16" s="21">
        <v>1</v>
      </c>
    </row>
    <row r="17" spans="1:64" ht="14.25" customHeight="1" x14ac:dyDescent="0.55000000000000004"/>
    <row r="18" spans="1:64" ht="14.25" customHeight="1" x14ac:dyDescent="0.55000000000000004">
      <c r="A18" s="23" t="s">
        <v>129</v>
      </c>
      <c r="B18" s="23">
        <f t="shared" ref="B18:D18" si="13">SUM(B8,B10,B11)</f>
        <v>10507</v>
      </c>
      <c r="C18" s="23">
        <f t="shared" si="13"/>
        <v>4951</v>
      </c>
      <c r="D18" s="23">
        <f t="shared" si="13"/>
        <v>5556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</row>
    <row r="19" spans="1:64" ht="14.25" customHeight="1" x14ac:dyDescent="0.55000000000000004"/>
    <row r="20" spans="1:64" ht="14.25" customHeight="1" x14ac:dyDescent="0.55000000000000004"/>
    <row r="21" spans="1:64" ht="14.25" customHeight="1" x14ac:dyDescent="0.55000000000000004"/>
    <row r="22" spans="1:64" ht="14.25" customHeight="1" x14ac:dyDescent="0.55000000000000004"/>
    <row r="23" spans="1:64" ht="14.25" customHeight="1" x14ac:dyDescent="0.55000000000000004"/>
    <row r="24" spans="1:64" ht="14.25" customHeight="1" x14ac:dyDescent="0.55000000000000004"/>
    <row r="25" spans="1:64" ht="14.25" customHeight="1" x14ac:dyDescent="0.55000000000000004"/>
    <row r="26" spans="1:64" ht="14.25" customHeight="1" x14ac:dyDescent="0.55000000000000004"/>
    <row r="27" spans="1:64" ht="14.25" customHeight="1" x14ac:dyDescent="0.55000000000000004"/>
    <row r="28" spans="1:64" ht="14.25" customHeight="1" x14ac:dyDescent="0.55000000000000004"/>
    <row r="29" spans="1:64" ht="14.25" customHeight="1" x14ac:dyDescent="0.55000000000000004"/>
    <row r="30" spans="1:64" ht="14.25" customHeight="1" x14ac:dyDescent="0.55000000000000004"/>
    <row r="31" spans="1:64" ht="14.25" customHeight="1" x14ac:dyDescent="0.55000000000000004"/>
    <row r="32" spans="1:64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J1000"/>
  <sheetViews>
    <sheetView workbookViewId="0"/>
  </sheetViews>
  <sheetFormatPr defaultColWidth="14.41796875" defaultRowHeight="15" customHeight="1" x14ac:dyDescent="0.55000000000000004"/>
  <cols>
    <col min="1" max="62" width="10" customWidth="1"/>
  </cols>
  <sheetData>
    <row r="1" spans="1:62" ht="14.25" customHeight="1" x14ac:dyDescent="0.6">
      <c r="A1" s="56" t="s">
        <v>127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4"/>
    </row>
    <row r="2" spans="1:62" ht="14.25" customHeight="1" x14ac:dyDescent="0.55000000000000004">
      <c r="A2" s="54" t="s">
        <v>10</v>
      </c>
      <c r="B2" s="54" t="s">
        <v>12</v>
      </c>
      <c r="C2" s="54" t="s">
        <v>16</v>
      </c>
      <c r="D2" s="55"/>
      <c r="E2" s="55"/>
      <c r="F2" s="54" t="s">
        <v>17</v>
      </c>
      <c r="G2" s="55"/>
      <c r="H2" s="55"/>
      <c r="I2" s="54" t="s">
        <v>18</v>
      </c>
      <c r="J2" s="55"/>
      <c r="K2" s="55"/>
      <c r="L2" s="54" t="s">
        <v>19</v>
      </c>
      <c r="M2" s="55"/>
      <c r="N2" s="55"/>
      <c r="O2" s="54" t="s">
        <v>20</v>
      </c>
      <c r="P2" s="55"/>
      <c r="Q2" s="55"/>
      <c r="R2" s="54" t="s">
        <v>21</v>
      </c>
      <c r="S2" s="55"/>
      <c r="T2" s="55"/>
      <c r="U2" s="54" t="s">
        <v>22</v>
      </c>
      <c r="V2" s="55"/>
      <c r="W2" s="55"/>
      <c r="X2" s="54" t="s">
        <v>23</v>
      </c>
      <c r="Y2" s="55"/>
      <c r="Z2" s="55"/>
      <c r="AA2" s="54" t="s">
        <v>24</v>
      </c>
      <c r="AB2" s="55"/>
      <c r="AC2" s="55"/>
      <c r="AD2" s="54" t="s">
        <v>25</v>
      </c>
      <c r="AE2" s="55"/>
      <c r="AF2" s="55"/>
      <c r="AG2" s="54" t="s">
        <v>26</v>
      </c>
      <c r="AH2" s="55"/>
      <c r="AI2" s="55"/>
      <c r="AJ2" s="54" t="s">
        <v>27</v>
      </c>
      <c r="AK2" s="55"/>
      <c r="AL2" s="55"/>
      <c r="AM2" s="54" t="s">
        <v>28</v>
      </c>
      <c r="AN2" s="55"/>
      <c r="AO2" s="55"/>
      <c r="AP2" s="54" t="s">
        <v>29</v>
      </c>
      <c r="AQ2" s="55"/>
      <c r="AR2" s="55"/>
      <c r="AS2" s="54" t="s">
        <v>30</v>
      </c>
      <c r="AT2" s="55"/>
      <c r="AU2" s="55"/>
      <c r="AV2" s="54" t="s">
        <v>31</v>
      </c>
      <c r="AW2" s="55"/>
      <c r="AX2" s="55"/>
      <c r="AY2" s="54" t="s">
        <v>32</v>
      </c>
      <c r="AZ2" s="55"/>
      <c r="BA2" s="55"/>
      <c r="BB2" s="54" t="s">
        <v>33</v>
      </c>
      <c r="BC2" s="55"/>
      <c r="BD2" s="55"/>
      <c r="BE2" s="54" t="s">
        <v>34</v>
      </c>
      <c r="BF2" s="55"/>
      <c r="BG2" s="55"/>
      <c r="BH2" s="54" t="s">
        <v>35</v>
      </c>
      <c r="BI2" s="55"/>
      <c r="BJ2" s="55"/>
    </row>
    <row r="3" spans="1:62" ht="14.25" customHeight="1" x14ac:dyDescent="0.55000000000000004">
      <c r="A3" s="55"/>
      <c r="B3" s="55"/>
      <c r="C3" s="6" t="s">
        <v>12</v>
      </c>
      <c r="D3" s="6" t="s">
        <v>37</v>
      </c>
      <c r="E3" s="6" t="s">
        <v>38</v>
      </c>
      <c r="F3" s="6" t="s">
        <v>12</v>
      </c>
      <c r="G3" s="6" t="s">
        <v>37</v>
      </c>
      <c r="H3" s="6" t="s">
        <v>38</v>
      </c>
      <c r="I3" s="6" t="s">
        <v>12</v>
      </c>
      <c r="J3" s="6" t="s">
        <v>37</v>
      </c>
      <c r="K3" s="6" t="s">
        <v>38</v>
      </c>
      <c r="L3" s="6" t="s">
        <v>12</v>
      </c>
      <c r="M3" s="6" t="s">
        <v>37</v>
      </c>
      <c r="N3" s="6" t="s">
        <v>38</v>
      </c>
      <c r="O3" s="6" t="s">
        <v>12</v>
      </c>
      <c r="P3" s="6" t="s">
        <v>37</v>
      </c>
      <c r="Q3" s="6" t="s">
        <v>38</v>
      </c>
      <c r="R3" s="6" t="s">
        <v>12</v>
      </c>
      <c r="S3" s="6" t="s">
        <v>37</v>
      </c>
      <c r="T3" s="6" t="s">
        <v>38</v>
      </c>
      <c r="U3" s="6" t="s">
        <v>12</v>
      </c>
      <c r="V3" s="6" t="s">
        <v>37</v>
      </c>
      <c r="W3" s="6" t="s">
        <v>38</v>
      </c>
      <c r="X3" s="6" t="s">
        <v>12</v>
      </c>
      <c r="Y3" s="6" t="s">
        <v>37</v>
      </c>
      <c r="Z3" s="6" t="s">
        <v>38</v>
      </c>
      <c r="AA3" s="6" t="s">
        <v>12</v>
      </c>
      <c r="AB3" s="6" t="s">
        <v>37</v>
      </c>
      <c r="AC3" s="6" t="s">
        <v>38</v>
      </c>
      <c r="AD3" s="6" t="s">
        <v>12</v>
      </c>
      <c r="AE3" s="6" t="s">
        <v>37</v>
      </c>
      <c r="AF3" s="6" t="s">
        <v>38</v>
      </c>
      <c r="AG3" s="6" t="s">
        <v>12</v>
      </c>
      <c r="AH3" s="6" t="s">
        <v>37</v>
      </c>
      <c r="AI3" s="6" t="s">
        <v>38</v>
      </c>
      <c r="AJ3" s="6" t="s">
        <v>12</v>
      </c>
      <c r="AK3" s="6" t="s">
        <v>37</v>
      </c>
      <c r="AL3" s="6" t="s">
        <v>38</v>
      </c>
      <c r="AM3" s="6" t="s">
        <v>12</v>
      </c>
      <c r="AN3" s="6" t="s">
        <v>37</v>
      </c>
      <c r="AO3" s="6" t="s">
        <v>38</v>
      </c>
      <c r="AP3" s="6" t="s">
        <v>12</v>
      </c>
      <c r="AQ3" s="6" t="s">
        <v>37</v>
      </c>
      <c r="AR3" s="6" t="s">
        <v>38</v>
      </c>
      <c r="AS3" s="6" t="s">
        <v>12</v>
      </c>
      <c r="AT3" s="6" t="s">
        <v>37</v>
      </c>
      <c r="AU3" s="6" t="s">
        <v>38</v>
      </c>
      <c r="AV3" s="6" t="s">
        <v>12</v>
      </c>
      <c r="AW3" s="6" t="s">
        <v>37</v>
      </c>
      <c r="AX3" s="6" t="s">
        <v>38</v>
      </c>
      <c r="AY3" s="6" t="s">
        <v>12</v>
      </c>
      <c r="AZ3" s="6" t="s">
        <v>37</v>
      </c>
      <c r="BA3" s="6" t="s">
        <v>38</v>
      </c>
      <c r="BB3" s="6" t="s">
        <v>12</v>
      </c>
      <c r="BC3" s="6" t="s">
        <v>37</v>
      </c>
      <c r="BD3" s="6" t="s">
        <v>38</v>
      </c>
      <c r="BE3" s="6" t="s">
        <v>12</v>
      </c>
      <c r="BF3" s="6" t="s">
        <v>37</v>
      </c>
      <c r="BG3" s="6" t="s">
        <v>38</v>
      </c>
      <c r="BH3" s="6" t="s">
        <v>12</v>
      </c>
      <c r="BI3" s="6" t="s">
        <v>37</v>
      </c>
      <c r="BJ3" s="6" t="s">
        <v>38</v>
      </c>
    </row>
    <row r="4" spans="1:62" ht="14.25" customHeight="1" x14ac:dyDescent="0.55000000000000004">
      <c r="A4" s="23">
        <v>1</v>
      </c>
      <c r="B4" s="23">
        <v>4088</v>
      </c>
      <c r="C4" s="23">
        <v>301</v>
      </c>
      <c r="D4" s="23">
        <v>155</v>
      </c>
      <c r="E4" s="23">
        <v>146</v>
      </c>
      <c r="F4" s="23">
        <v>336</v>
      </c>
      <c r="G4" s="23">
        <v>172</v>
      </c>
      <c r="H4" s="23">
        <v>164</v>
      </c>
      <c r="I4" s="23">
        <v>368</v>
      </c>
      <c r="J4" s="23">
        <v>189</v>
      </c>
      <c r="K4" s="23">
        <v>179</v>
      </c>
      <c r="L4" s="23">
        <v>350</v>
      </c>
      <c r="M4" s="23">
        <v>168</v>
      </c>
      <c r="N4" s="23">
        <v>182</v>
      </c>
      <c r="O4" s="23">
        <v>323</v>
      </c>
      <c r="P4" s="23">
        <v>134</v>
      </c>
      <c r="Q4" s="23">
        <v>189</v>
      </c>
      <c r="R4" s="23">
        <v>290</v>
      </c>
      <c r="S4" s="23">
        <v>101</v>
      </c>
      <c r="T4" s="23">
        <v>189</v>
      </c>
      <c r="U4" s="23">
        <v>319</v>
      </c>
      <c r="V4" s="23">
        <v>121</v>
      </c>
      <c r="W4" s="23">
        <v>198</v>
      </c>
      <c r="X4" s="23">
        <v>265</v>
      </c>
      <c r="Y4" s="23">
        <v>113</v>
      </c>
      <c r="Z4" s="23">
        <v>152</v>
      </c>
      <c r="AA4" s="23">
        <v>265</v>
      </c>
      <c r="AB4" s="23">
        <v>108</v>
      </c>
      <c r="AC4" s="23">
        <v>157</v>
      </c>
      <c r="AD4" s="23">
        <v>249</v>
      </c>
      <c r="AE4" s="23">
        <v>116</v>
      </c>
      <c r="AF4" s="23">
        <v>133</v>
      </c>
      <c r="AG4" s="23">
        <v>185</v>
      </c>
      <c r="AH4" s="23">
        <v>93</v>
      </c>
      <c r="AI4" s="23">
        <v>92</v>
      </c>
      <c r="AJ4" s="23">
        <v>198</v>
      </c>
      <c r="AK4" s="23">
        <v>92</v>
      </c>
      <c r="AL4" s="23">
        <v>106</v>
      </c>
      <c r="AM4" s="23">
        <v>211</v>
      </c>
      <c r="AN4" s="23">
        <v>89</v>
      </c>
      <c r="AO4" s="23">
        <v>122</v>
      </c>
      <c r="AP4" s="23">
        <v>152</v>
      </c>
      <c r="AQ4" s="23">
        <v>69</v>
      </c>
      <c r="AR4" s="23">
        <v>83</v>
      </c>
      <c r="AS4" s="23">
        <v>123</v>
      </c>
      <c r="AT4" s="23">
        <v>57</v>
      </c>
      <c r="AU4" s="23">
        <v>66</v>
      </c>
      <c r="AV4" s="23">
        <v>89</v>
      </c>
      <c r="AW4" s="23">
        <v>40</v>
      </c>
      <c r="AX4" s="23">
        <v>49</v>
      </c>
      <c r="AY4" s="23">
        <v>40</v>
      </c>
      <c r="AZ4" s="23">
        <v>20</v>
      </c>
      <c r="BA4" s="23">
        <v>20</v>
      </c>
      <c r="BB4" s="23">
        <v>14</v>
      </c>
      <c r="BC4" s="23">
        <v>6</v>
      </c>
      <c r="BD4" s="23">
        <v>8</v>
      </c>
      <c r="BE4" s="23">
        <v>9</v>
      </c>
      <c r="BF4" s="23">
        <v>4</v>
      </c>
      <c r="BG4" s="23">
        <v>5</v>
      </c>
      <c r="BH4" s="23">
        <v>1</v>
      </c>
      <c r="BI4" s="23">
        <v>0</v>
      </c>
      <c r="BJ4" s="23">
        <v>1</v>
      </c>
    </row>
    <row r="5" spans="1:62" ht="14.25" customHeight="1" x14ac:dyDescent="0.55000000000000004">
      <c r="A5" s="23">
        <v>2</v>
      </c>
      <c r="B5" s="23">
        <v>4142</v>
      </c>
      <c r="C5" s="23">
        <v>282</v>
      </c>
      <c r="D5" s="23">
        <v>146</v>
      </c>
      <c r="E5" s="23">
        <v>136</v>
      </c>
      <c r="F5" s="23">
        <v>308</v>
      </c>
      <c r="G5" s="23">
        <v>173</v>
      </c>
      <c r="H5" s="23">
        <v>135</v>
      </c>
      <c r="I5" s="23">
        <v>371</v>
      </c>
      <c r="J5" s="23">
        <v>197</v>
      </c>
      <c r="K5" s="23">
        <v>174</v>
      </c>
      <c r="L5" s="23">
        <v>328</v>
      </c>
      <c r="M5" s="23">
        <v>158</v>
      </c>
      <c r="N5" s="23">
        <v>170</v>
      </c>
      <c r="O5" s="23">
        <v>269</v>
      </c>
      <c r="P5" s="23">
        <v>119</v>
      </c>
      <c r="Q5" s="23">
        <v>150</v>
      </c>
      <c r="R5" s="23">
        <v>287</v>
      </c>
      <c r="S5" s="23">
        <v>107</v>
      </c>
      <c r="T5" s="23">
        <v>180</v>
      </c>
      <c r="U5" s="23">
        <v>316</v>
      </c>
      <c r="V5" s="23">
        <v>117</v>
      </c>
      <c r="W5" s="23">
        <v>199</v>
      </c>
      <c r="X5" s="23">
        <v>303</v>
      </c>
      <c r="Y5" s="23">
        <v>127</v>
      </c>
      <c r="Z5" s="23">
        <v>176</v>
      </c>
      <c r="AA5" s="23">
        <v>283</v>
      </c>
      <c r="AB5" s="23">
        <v>124</v>
      </c>
      <c r="AC5" s="23">
        <v>159</v>
      </c>
      <c r="AD5" s="23">
        <v>275</v>
      </c>
      <c r="AE5" s="23">
        <v>127</v>
      </c>
      <c r="AF5" s="23">
        <v>148</v>
      </c>
      <c r="AG5" s="23">
        <v>224</v>
      </c>
      <c r="AH5" s="23">
        <v>104</v>
      </c>
      <c r="AI5" s="23">
        <v>120</v>
      </c>
      <c r="AJ5" s="23">
        <v>247</v>
      </c>
      <c r="AK5" s="23">
        <v>121</v>
      </c>
      <c r="AL5" s="23">
        <v>126</v>
      </c>
      <c r="AM5" s="23">
        <v>204</v>
      </c>
      <c r="AN5" s="23">
        <v>96</v>
      </c>
      <c r="AO5" s="23">
        <v>108</v>
      </c>
      <c r="AP5" s="23">
        <v>167</v>
      </c>
      <c r="AQ5" s="23">
        <v>76</v>
      </c>
      <c r="AR5" s="23">
        <v>91</v>
      </c>
      <c r="AS5" s="23">
        <v>126</v>
      </c>
      <c r="AT5" s="23">
        <v>60</v>
      </c>
      <c r="AU5" s="23">
        <v>66</v>
      </c>
      <c r="AV5" s="23">
        <v>86</v>
      </c>
      <c r="AW5" s="23">
        <v>32</v>
      </c>
      <c r="AX5" s="23">
        <v>54</v>
      </c>
      <c r="AY5" s="23">
        <v>42</v>
      </c>
      <c r="AZ5" s="23">
        <v>22</v>
      </c>
      <c r="BA5" s="23">
        <v>20</v>
      </c>
      <c r="BB5" s="23">
        <v>13</v>
      </c>
      <c r="BC5" s="23">
        <v>7</v>
      </c>
      <c r="BD5" s="23">
        <v>6</v>
      </c>
      <c r="BE5" s="23">
        <v>8</v>
      </c>
      <c r="BF5" s="23">
        <v>3</v>
      </c>
      <c r="BG5" s="23">
        <v>5</v>
      </c>
      <c r="BH5" s="23">
        <v>3</v>
      </c>
      <c r="BI5" s="23">
        <v>0</v>
      </c>
      <c r="BJ5" s="23">
        <v>3</v>
      </c>
    </row>
    <row r="6" spans="1:62" ht="14.25" customHeight="1" x14ac:dyDescent="0.55000000000000004">
      <c r="A6" s="21">
        <v>3</v>
      </c>
      <c r="B6" s="21">
        <v>2308</v>
      </c>
      <c r="C6" s="21">
        <v>162</v>
      </c>
      <c r="D6" s="21">
        <v>84</v>
      </c>
      <c r="E6" s="21">
        <v>78</v>
      </c>
      <c r="F6" s="21">
        <v>152</v>
      </c>
      <c r="G6" s="21">
        <v>85</v>
      </c>
      <c r="H6" s="21">
        <v>67</v>
      </c>
      <c r="I6" s="21">
        <v>142</v>
      </c>
      <c r="J6" s="21">
        <v>67</v>
      </c>
      <c r="K6" s="21">
        <v>75</v>
      </c>
      <c r="L6" s="21">
        <v>158</v>
      </c>
      <c r="M6" s="21">
        <v>68</v>
      </c>
      <c r="N6" s="21">
        <v>90</v>
      </c>
      <c r="O6" s="21">
        <v>175</v>
      </c>
      <c r="P6" s="21">
        <v>74</v>
      </c>
      <c r="Q6" s="21">
        <v>101</v>
      </c>
      <c r="R6" s="21">
        <v>177</v>
      </c>
      <c r="S6" s="21">
        <v>63</v>
      </c>
      <c r="T6" s="21">
        <v>114</v>
      </c>
      <c r="U6" s="21">
        <v>154</v>
      </c>
      <c r="V6" s="21">
        <v>61</v>
      </c>
      <c r="W6" s="21">
        <v>93</v>
      </c>
      <c r="X6" s="21">
        <v>112</v>
      </c>
      <c r="Y6" s="21">
        <v>46</v>
      </c>
      <c r="Z6" s="21">
        <v>66</v>
      </c>
      <c r="AA6" s="21">
        <v>123</v>
      </c>
      <c r="AB6" s="21">
        <v>48</v>
      </c>
      <c r="AC6" s="21">
        <v>75</v>
      </c>
      <c r="AD6" s="21">
        <v>131</v>
      </c>
      <c r="AE6" s="21">
        <v>55</v>
      </c>
      <c r="AF6" s="21">
        <v>76</v>
      </c>
      <c r="AG6" s="21">
        <v>123</v>
      </c>
      <c r="AH6" s="21">
        <v>48</v>
      </c>
      <c r="AI6" s="21">
        <v>75</v>
      </c>
      <c r="AJ6" s="21">
        <v>153</v>
      </c>
      <c r="AK6" s="21">
        <v>60</v>
      </c>
      <c r="AL6" s="21">
        <v>93</v>
      </c>
      <c r="AM6" s="21">
        <v>145</v>
      </c>
      <c r="AN6" s="21">
        <v>76</v>
      </c>
      <c r="AO6" s="21">
        <v>69</v>
      </c>
      <c r="AP6" s="21">
        <v>151</v>
      </c>
      <c r="AQ6" s="21">
        <v>68</v>
      </c>
      <c r="AR6" s="21">
        <v>83</v>
      </c>
      <c r="AS6" s="21">
        <v>115</v>
      </c>
      <c r="AT6" s="21">
        <v>54</v>
      </c>
      <c r="AU6" s="21">
        <v>61</v>
      </c>
      <c r="AV6" s="21">
        <v>69</v>
      </c>
      <c r="AW6" s="21">
        <v>33</v>
      </c>
      <c r="AX6" s="21">
        <v>36</v>
      </c>
      <c r="AY6" s="21">
        <v>43</v>
      </c>
      <c r="AZ6" s="21">
        <v>16</v>
      </c>
      <c r="BA6" s="21">
        <v>27</v>
      </c>
      <c r="BB6" s="21">
        <v>14</v>
      </c>
      <c r="BC6" s="21">
        <v>6</v>
      </c>
      <c r="BD6" s="21">
        <v>8</v>
      </c>
      <c r="BE6" s="21">
        <v>8</v>
      </c>
      <c r="BF6" s="21">
        <v>3</v>
      </c>
      <c r="BG6" s="21">
        <v>5</v>
      </c>
      <c r="BH6" s="21">
        <v>1</v>
      </c>
      <c r="BI6" s="21">
        <v>1</v>
      </c>
      <c r="BJ6" s="21">
        <v>0</v>
      </c>
    </row>
    <row r="7" spans="1:62" ht="14.25" customHeight="1" x14ac:dyDescent="0.55000000000000004">
      <c r="A7" s="21">
        <v>4</v>
      </c>
      <c r="B7" s="21">
        <v>2213</v>
      </c>
      <c r="C7" s="21">
        <v>155</v>
      </c>
      <c r="D7" s="21">
        <v>80</v>
      </c>
      <c r="E7" s="21">
        <v>75</v>
      </c>
      <c r="F7" s="21">
        <v>169</v>
      </c>
      <c r="G7" s="21">
        <v>101</v>
      </c>
      <c r="H7" s="21">
        <v>68</v>
      </c>
      <c r="I7" s="21">
        <v>170</v>
      </c>
      <c r="J7" s="21">
        <v>93</v>
      </c>
      <c r="K7" s="21">
        <v>77</v>
      </c>
      <c r="L7" s="21">
        <v>196</v>
      </c>
      <c r="M7" s="21">
        <v>106</v>
      </c>
      <c r="N7" s="21">
        <v>90</v>
      </c>
      <c r="O7" s="21">
        <v>189</v>
      </c>
      <c r="P7" s="21">
        <v>80</v>
      </c>
      <c r="Q7" s="21">
        <v>109</v>
      </c>
      <c r="R7" s="21">
        <v>153</v>
      </c>
      <c r="S7" s="21">
        <v>49</v>
      </c>
      <c r="T7" s="21">
        <v>104</v>
      </c>
      <c r="U7" s="21">
        <v>132</v>
      </c>
      <c r="V7" s="21">
        <v>55</v>
      </c>
      <c r="W7" s="21">
        <v>77</v>
      </c>
      <c r="X7" s="21">
        <v>116</v>
      </c>
      <c r="Y7" s="21">
        <v>43</v>
      </c>
      <c r="Z7" s="21">
        <v>73</v>
      </c>
      <c r="AA7" s="21">
        <v>122</v>
      </c>
      <c r="AB7" s="21">
        <v>42</v>
      </c>
      <c r="AC7" s="21">
        <v>80</v>
      </c>
      <c r="AD7" s="21">
        <v>128</v>
      </c>
      <c r="AE7" s="21">
        <v>56</v>
      </c>
      <c r="AF7" s="21">
        <v>72</v>
      </c>
      <c r="AG7" s="21">
        <v>119</v>
      </c>
      <c r="AH7" s="21">
        <v>46</v>
      </c>
      <c r="AI7" s="21">
        <v>73</v>
      </c>
      <c r="AJ7" s="21">
        <v>121</v>
      </c>
      <c r="AK7" s="21">
        <v>55</v>
      </c>
      <c r="AL7" s="21">
        <v>66</v>
      </c>
      <c r="AM7" s="21">
        <v>119</v>
      </c>
      <c r="AN7" s="21">
        <v>59</v>
      </c>
      <c r="AO7" s="21">
        <v>60</v>
      </c>
      <c r="AP7" s="21">
        <v>108</v>
      </c>
      <c r="AQ7" s="21">
        <v>51</v>
      </c>
      <c r="AR7" s="21">
        <v>57</v>
      </c>
      <c r="AS7" s="21">
        <v>96</v>
      </c>
      <c r="AT7" s="21">
        <v>43</v>
      </c>
      <c r="AU7" s="21">
        <v>53</v>
      </c>
      <c r="AV7" s="21">
        <v>59</v>
      </c>
      <c r="AW7" s="21">
        <v>26</v>
      </c>
      <c r="AX7" s="21">
        <v>33</v>
      </c>
      <c r="AY7" s="21">
        <v>39</v>
      </c>
      <c r="AZ7" s="21">
        <v>17</v>
      </c>
      <c r="BA7" s="21">
        <v>22</v>
      </c>
      <c r="BB7" s="21">
        <v>15</v>
      </c>
      <c r="BC7" s="21">
        <v>6</v>
      </c>
      <c r="BD7" s="21">
        <v>9</v>
      </c>
      <c r="BE7" s="21">
        <v>7</v>
      </c>
      <c r="BF7" s="21">
        <v>4</v>
      </c>
      <c r="BG7" s="21">
        <v>3</v>
      </c>
      <c r="BH7" s="21">
        <v>0</v>
      </c>
      <c r="BI7" s="21">
        <v>0</v>
      </c>
      <c r="BJ7" s="21">
        <v>0</v>
      </c>
    </row>
    <row r="8" spans="1:62" ht="14.25" customHeight="1" x14ac:dyDescent="0.55000000000000004">
      <c r="A8" s="21">
        <v>5</v>
      </c>
      <c r="B8" s="21">
        <v>1978</v>
      </c>
      <c r="C8" s="21">
        <v>125</v>
      </c>
      <c r="D8" s="21">
        <v>65</v>
      </c>
      <c r="E8" s="21">
        <v>60</v>
      </c>
      <c r="F8" s="21">
        <v>132</v>
      </c>
      <c r="G8" s="21">
        <v>69</v>
      </c>
      <c r="H8" s="21">
        <v>63</v>
      </c>
      <c r="I8" s="21">
        <v>147</v>
      </c>
      <c r="J8" s="21">
        <v>87</v>
      </c>
      <c r="K8" s="21">
        <v>60</v>
      </c>
      <c r="L8" s="21">
        <v>179</v>
      </c>
      <c r="M8" s="21">
        <v>83</v>
      </c>
      <c r="N8" s="21">
        <v>96</v>
      </c>
      <c r="O8" s="21">
        <v>148</v>
      </c>
      <c r="P8" s="21">
        <v>63</v>
      </c>
      <c r="Q8" s="21">
        <v>85</v>
      </c>
      <c r="R8" s="21">
        <v>107</v>
      </c>
      <c r="S8" s="21">
        <v>38</v>
      </c>
      <c r="T8" s="21">
        <v>69</v>
      </c>
      <c r="U8" s="21">
        <v>121</v>
      </c>
      <c r="V8" s="21">
        <v>40</v>
      </c>
      <c r="W8" s="21">
        <v>81</v>
      </c>
      <c r="X8" s="21">
        <v>112</v>
      </c>
      <c r="Y8" s="21">
        <v>45</v>
      </c>
      <c r="Z8" s="21">
        <v>67</v>
      </c>
      <c r="AA8" s="21">
        <v>129</v>
      </c>
      <c r="AB8" s="21">
        <v>54</v>
      </c>
      <c r="AC8" s="21">
        <v>75</v>
      </c>
      <c r="AD8" s="21">
        <v>111</v>
      </c>
      <c r="AE8" s="21">
        <v>45</v>
      </c>
      <c r="AF8" s="21">
        <v>66</v>
      </c>
      <c r="AG8" s="21">
        <v>112</v>
      </c>
      <c r="AH8" s="21">
        <v>45</v>
      </c>
      <c r="AI8" s="21">
        <v>67</v>
      </c>
      <c r="AJ8" s="21">
        <v>118</v>
      </c>
      <c r="AK8" s="21">
        <v>49</v>
      </c>
      <c r="AL8" s="21">
        <v>69</v>
      </c>
      <c r="AM8" s="21">
        <v>113</v>
      </c>
      <c r="AN8" s="21">
        <v>53</v>
      </c>
      <c r="AO8" s="21">
        <v>60</v>
      </c>
      <c r="AP8" s="21">
        <v>111</v>
      </c>
      <c r="AQ8" s="21">
        <v>51</v>
      </c>
      <c r="AR8" s="21">
        <v>60</v>
      </c>
      <c r="AS8" s="21">
        <v>93</v>
      </c>
      <c r="AT8" s="21">
        <v>37</v>
      </c>
      <c r="AU8" s="21">
        <v>56</v>
      </c>
      <c r="AV8" s="21">
        <v>62</v>
      </c>
      <c r="AW8" s="21">
        <v>26</v>
      </c>
      <c r="AX8" s="21">
        <v>36</v>
      </c>
      <c r="AY8" s="21">
        <v>36</v>
      </c>
      <c r="AZ8" s="21">
        <v>16</v>
      </c>
      <c r="BA8" s="21">
        <v>20</v>
      </c>
      <c r="BB8" s="21">
        <v>16</v>
      </c>
      <c r="BC8" s="21">
        <v>6</v>
      </c>
      <c r="BD8" s="21">
        <v>10</v>
      </c>
      <c r="BE8" s="21">
        <v>6</v>
      </c>
      <c r="BF8" s="21">
        <v>2</v>
      </c>
      <c r="BG8" s="21">
        <v>4</v>
      </c>
      <c r="BH8" s="21">
        <v>0</v>
      </c>
      <c r="BI8" s="21">
        <v>0</v>
      </c>
      <c r="BJ8" s="21">
        <v>0</v>
      </c>
    </row>
    <row r="9" spans="1:62" ht="14.25" customHeight="1" x14ac:dyDescent="0.55000000000000004">
      <c r="A9" s="21">
        <v>6</v>
      </c>
      <c r="B9" s="21">
        <v>2447</v>
      </c>
      <c r="C9" s="21">
        <v>160</v>
      </c>
      <c r="D9" s="21">
        <v>83</v>
      </c>
      <c r="E9" s="21">
        <v>77</v>
      </c>
      <c r="F9" s="21">
        <v>187</v>
      </c>
      <c r="G9" s="21">
        <v>97</v>
      </c>
      <c r="H9" s="21">
        <v>90</v>
      </c>
      <c r="I9" s="21">
        <v>196</v>
      </c>
      <c r="J9" s="21">
        <v>108</v>
      </c>
      <c r="K9" s="21">
        <v>88</v>
      </c>
      <c r="L9" s="21">
        <v>187</v>
      </c>
      <c r="M9" s="21">
        <v>88</v>
      </c>
      <c r="N9" s="21">
        <v>99</v>
      </c>
      <c r="O9" s="21">
        <v>158</v>
      </c>
      <c r="P9" s="21">
        <v>65</v>
      </c>
      <c r="Q9" s="21">
        <v>93</v>
      </c>
      <c r="R9" s="21">
        <v>158</v>
      </c>
      <c r="S9" s="21">
        <v>53</v>
      </c>
      <c r="T9" s="21">
        <v>105</v>
      </c>
      <c r="U9" s="21">
        <v>160</v>
      </c>
      <c r="V9" s="21">
        <v>60</v>
      </c>
      <c r="W9" s="21">
        <v>100</v>
      </c>
      <c r="X9" s="21">
        <v>143</v>
      </c>
      <c r="Y9" s="21">
        <v>57</v>
      </c>
      <c r="Z9" s="21">
        <v>86</v>
      </c>
      <c r="AA9" s="21">
        <v>149</v>
      </c>
      <c r="AB9" s="21">
        <v>54</v>
      </c>
      <c r="AC9" s="21">
        <v>95</v>
      </c>
      <c r="AD9" s="21">
        <v>138</v>
      </c>
      <c r="AE9" s="21">
        <v>60</v>
      </c>
      <c r="AF9" s="21">
        <v>78</v>
      </c>
      <c r="AG9" s="21">
        <v>128</v>
      </c>
      <c r="AH9" s="21">
        <v>52</v>
      </c>
      <c r="AI9" s="21">
        <v>76</v>
      </c>
      <c r="AJ9" s="21">
        <v>152</v>
      </c>
      <c r="AK9" s="21">
        <v>74</v>
      </c>
      <c r="AL9" s="21">
        <v>78</v>
      </c>
      <c r="AM9" s="21">
        <v>149</v>
      </c>
      <c r="AN9" s="21">
        <v>72</v>
      </c>
      <c r="AO9" s="21">
        <v>77</v>
      </c>
      <c r="AP9" s="21">
        <v>148</v>
      </c>
      <c r="AQ9" s="21">
        <v>71</v>
      </c>
      <c r="AR9" s="21">
        <v>77</v>
      </c>
      <c r="AS9" s="21">
        <v>101</v>
      </c>
      <c r="AT9" s="21">
        <v>49</v>
      </c>
      <c r="AU9" s="21">
        <v>52</v>
      </c>
      <c r="AV9" s="21">
        <v>77</v>
      </c>
      <c r="AW9" s="21">
        <v>37</v>
      </c>
      <c r="AX9" s="21">
        <v>40</v>
      </c>
      <c r="AY9" s="21">
        <v>34</v>
      </c>
      <c r="AZ9" s="21">
        <v>15</v>
      </c>
      <c r="BA9" s="21">
        <v>19</v>
      </c>
      <c r="BB9" s="21">
        <v>12</v>
      </c>
      <c r="BC9" s="21">
        <v>5</v>
      </c>
      <c r="BD9" s="21">
        <v>7</v>
      </c>
      <c r="BE9" s="21">
        <v>8</v>
      </c>
      <c r="BF9" s="21">
        <v>3</v>
      </c>
      <c r="BG9" s="21">
        <v>5</v>
      </c>
      <c r="BH9" s="21">
        <v>2</v>
      </c>
      <c r="BI9" s="21">
        <v>0</v>
      </c>
      <c r="BJ9" s="21">
        <v>2</v>
      </c>
    </row>
    <row r="10" spans="1:62" ht="14.25" customHeight="1" x14ac:dyDescent="0.55000000000000004">
      <c r="A10" s="21">
        <v>7</v>
      </c>
      <c r="B10" s="21">
        <v>2799</v>
      </c>
      <c r="C10" s="21">
        <v>190</v>
      </c>
      <c r="D10" s="21">
        <v>98</v>
      </c>
      <c r="E10" s="21">
        <v>92</v>
      </c>
      <c r="F10" s="21">
        <v>199</v>
      </c>
      <c r="G10" s="21">
        <v>100</v>
      </c>
      <c r="H10" s="21">
        <v>99</v>
      </c>
      <c r="I10" s="21">
        <v>197</v>
      </c>
      <c r="J10" s="21">
        <v>105</v>
      </c>
      <c r="K10" s="21">
        <v>92</v>
      </c>
      <c r="L10" s="21">
        <v>210</v>
      </c>
      <c r="M10" s="21">
        <v>101</v>
      </c>
      <c r="N10" s="21">
        <v>109</v>
      </c>
      <c r="O10" s="21">
        <v>197</v>
      </c>
      <c r="P10" s="21">
        <v>85</v>
      </c>
      <c r="Q10" s="21">
        <v>112</v>
      </c>
      <c r="R10" s="21">
        <v>198</v>
      </c>
      <c r="S10" s="21">
        <v>70</v>
      </c>
      <c r="T10" s="21">
        <v>128</v>
      </c>
      <c r="U10" s="21">
        <v>206</v>
      </c>
      <c r="V10" s="21">
        <v>82</v>
      </c>
      <c r="W10" s="21">
        <v>124</v>
      </c>
      <c r="X10" s="21">
        <v>173</v>
      </c>
      <c r="Y10" s="21">
        <v>75</v>
      </c>
      <c r="Z10" s="21">
        <v>98</v>
      </c>
      <c r="AA10" s="21">
        <v>178</v>
      </c>
      <c r="AB10" s="21">
        <v>79</v>
      </c>
      <c r="AC10" s="21">
        <v>99</v>
      </c>
      <c r="AD10" s="21">
        <v>166</v>
      </c>
      <c r="AE10" s="21">
        <v>75</v>
      </c>
      <c r="AF10" s="21">
        <v>91</v>
      </c>
      <c r="AG10" s="21">
        <v>155</v>
      </c>
      <c r="AH10" s="21">
        <v>67</v>
      </c>
      <c r="AI10" s="21">
        <v>88</v>
      </c>
      <c r="AJ10" s="21">
        <v>185</v>
      </c>
      <c r="AK10" s="21">
        <v>83</v>
      </c>
      <c r="AL10" s="21">
        <v>102</v>
      </c>
      <c r="AM10" s="21">
        <v>147</v>
      </c>
      <c r="AN10" s="21">
        <v>69</v>
      </c>
      <c r="AO10" s="21">
        <v>78</v>
      </c>
      <c r="AP10" s="21">
        <v>138</v>
      </c>
      <c r="AQ10" s="21">
        <v>64</v>
      </c>
      <c r="AR10" s="21">
        <v>74</v>
      </c>
      <c r="AS10" s="21">
        <v>129</v>
      </c>
      <c r="AT10" s="21">
        <v>67</v>
      </c>
      <c r="AU10" s="21">
        <v>62</v>
      </c>
      <c r="AV10" s="21">
        <v>78</v>
      </c>
      <c r="AW10" s="21">
        <v>37</v>
      </c>
      <c r="AX10" s="21">
        <v>41</v>
      </c>
      <c r="AY10" s="21">
        <v>33</v>
      </c>
      <c r="AZ10" s="21">
        <v>16</v>
      </c>
      <c r="BA10" s="21">
        <v>17</v>
      </c>
      <c r="BB10" s="21">
        <v>10</v>
      </c>
      <c r="BC10" s="21">
        <v>5</v>
      </c>
      <c r="BD10" s="21">
        <v>5</v>
      </c>
      <c r="BE10" s="21">
        <v>9</v>
      </c>
      <c r="BF10" s="21">
        <v>5</v>
      </c>
      <c r="BG10" s="21">
        <v>4</v>
      </c>
      <c r="BH10" s="21">
        <v>1</v>
      </c>
      <c r="BI10" s="21">
        <v>0</v>
      </c>
      <c r="BJ10" s="21">
        <v>1</v>
      </c>
    </row>
    <row r="11" spans="1:62" ht="14.25" customHeight="1" x14ac:dyDescent="0.55000000000000004"/>
    <row r="12" spans="1:62" ht="14.25" customHeight="1" x14ac:dyDescent="0.55000000000000004"/>
    <row r="13" spans="1:62" ht="14.25" customHeight="1" x14ac:dyDescent="0.55000000000000004"/>
    <row r="14" spans="1:62" ht="14.25" customHeight="1" x14ac:dyDescent="0.55000000000000004"/>
    <row r="15" spans="1:62" ht="14.25" customHeight="1" x14ac:dyDescent="0.55000000000000004"/>
    <row r="16" spans="1:62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E2:BG2"/>
    <mergeCell ref="BH2:BJ2"/>
    <mergeCell ref="AJ2:AL2"/>
    <mergeCell ref="AM2:AO2"/>
    <mergeCell ref="AP2:AR2"/>
    <mergeCell ref="AS2:AU2"/>
    <mergeCell ref="AV2:AX2"/>
    <mergeCell ref="AY2:BA2"/>
    <mergeCell ref="BB2:BD2"/>
    <mergeCell ref="A1:BI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9.68359375" customWidth="1"/>
    <col min="2" max="64" width="10" customWidth="1"/>
  </cols>
  <sheetData>
    <row r="1" spans="1:64" ht="14.25" customHeight="1" x14ac:dyDescent="0.6">
      <c r="A1" s="56" t="s">
        <v>130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6" t="s">
        <v>12</v>
      </c>
      <c r="D2" s="6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55"/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3">
        <v>1</v>
      </c>
      <c r="B4" s="23">
        <v>3372</v>
      </c>
      <c r="C4" s="23">
        <f t="shared" ref="C4:D4" si="0">SUM(F4,I4,L4,O4,R4,U4,X4,AA4,AD4,AG4,AJ4,AM4,AP4,AS4,AV4,AY4,BB4,BE4,BH4,BK4)</f>
        <v>1574</v>
      </c>
      <c r="D4" s="23">
        <f t="shared" si="0"/>
        <v>1798</v>
      </c>
      <c r="E4" s="23">
        <v>266</v>
      </c>
      <c r="F4" s="23">
        <v>137</v>
      </c>
      <c r="G4" s="23">
        <v>129</v>
      </c>
      <c r="H4" s="23">
        <v>289</v>
      </c>
      <c r="I4" s="23">
        <v>154</v>
      </c>
      <c r="J4" s="23">
        <v>135</v>
      </c>
      <c r="K4" s="23">
        <v>295</v>
      </c>
      <c r="L4" s="23">
        <v>152</v>
      </c>
      <c r="M4" s="23">
        <v>143</v>
      </c>
      <c r="N4" s="23">
        <v>275</v>
      </c>
      <c r="O4" s="23">
        <v>123</v>
      </c>
      <c r="P4" s="23">
        <v>152</v>
      </c>
      <c r="Q4" s="23">
        <v>261</v>
      </c>
      <c r="R4" s="23">
        <v>106</v>
      </c>
      <c r="S4" s="23">
        <v>155</v>
      </c>
      <c r="T4" s="23">
        <v>249</v>
      </c>
      <c r="U4" s="23">
        <v>93</v>
      </c>
      <c r="V4" s="23">
        <v>156</v>
      </c>
      <c r="W4" s="23">
        <v>282</v>
      </c>
      <c r="X4" s="23">
        <v>123</v>
      </c>
      <c r="Y4" s="23">
        <v>159</v>
      </c>
      <c r="Z4" s="23">
        <v>230</v>
      </c>
      <c r="AA4" s="23">
        <v>112</v>
      </c>
      <c r="AB4" s="23">
        <v>118</v>
      </c>
      <c r="AC4" s="23">
        <v>218</v>
      </c>
      <c r="AD4" s="23">
        <v>95</v>
      </c>
      <c r="AE4" s="23">
        <v>123</v>
      </c>
      <c r="AF4" s="23">
        <v>183</v>
      </c>
      <c r="AG4" s="23">
        <v>85</v>
      </c>
      <c r="AH4" s="23">
        <v>98</v>
      </c>
      <c r="AI4" s="23">
        <v>163</v>
      </c>
      <c r="AJ4" s="23">
        <v>74</v>
      </c>
      <c r="AK4" s="23">
        <v>89</v>
      </c>
      <c r="AL4" s="23">
        <v>168</v>
      </c>
      <c r="AM4" s="23">
        <v>83</v>
      </c>
      <c r="AN4" s="23">
        <v>85</v>
      </c>
      <c r="AO4" s="23">
        <v>141</v>
      </c>
      <c r="AP4" s="23">
        <v>62</v>
      </c>
      <c r="AQ4" s="23">
        <v>79</v>
      </c>
      <c r="AR4" s="23">
        <v>137</v>
      </c>
      <c r="AS4" s="23">
        <v>65</v>
      </c>
      <c r="AT4" s="23">
        <v>72</v>
      </c>
      <c r="AU4" s="23">
        <v>88</v>
      </c>
      <c r="AV4" s="23">
        <v>50</v>
      </c>
      <c r="AW4" s="23">
        <v>38</v>
      </c>
      <c r="AX4" s="23">
        <v>65</v>
      </c>
      <c r="AY4" s="23">
        <v>31</v>
      </c>
      <c r="AZ4" s="23">
        <v>34</v>
      </c>
      <c r="BA4" s="23">
        <v>41</v>
      </c>
      <c r="BB4" s="23">
        <v>19</v>
      </c>
      <c r="BC4" s="23">
        <v>22</v>
      </c>
      <c r="BD4" s="23">
        <v>12</v>
      </c>
      <c r="BE4" s="23">
        <v>6</v>
      </c>
      <c r="BF4" s="23">
        <v>6</v>
      </c>
      <c r="BG4" s="23">
        <v>9</v>
      </c>
      <c r="BH4" s="23">
        <v>4</v>
      </c>
      <c r="BI4" s="23">
        <v>5</v>
      </c>
      <c r="BJ4" s="23">
        <v>0</v>
      </c>
      <c r="BK4" s="23">
        <v>0</v>
      </c>
      <c r="BL4" s="23">
        <v>0</v>
      </c>
    </row>
    <row r="5" spans="1:64" ht="14.25" customHeight="1" x14ac:dyDescent="0.55000000000000004">
      <c r="A5" s="23">
        <v>2</v>
      </c>
      <c r="B5" s="23">
        <v>2787</v>
      </c>
      <c r="C5" s="23">
        <f t="shared" ref="C5:D5" si="1">SUM(F5,I5,L5,O5,R5,U5,X5,AA5,AD5,AG5,AJ5,AM5,AP5,AS5,AV5,AY5,BB5,BE5,BH5,BK5)</f>
        <v>1302</v>
      </c>
      <c r="D5" s="23">
        <f t="shared" si="1"/>
        <v>1485</v>
      </c>
      <c r="E5" s="23">
        <v>196</v>
      </c>
      <c r="F5" s="23">
        <v>101</v>
      </c>
      <c r="G5" s="23">
        <v>95</v>
      </c>
      <c r="H5" s="23">
        <v>188</v>
      </c>
      <c r="I5" s="23">
        <v>80</v>
      </c>
      <c r="J5" s="23">
        <v>108</v>
      </c>
      <c r="K5" s="23">
        <v>208</v>
      </c>
      <c r="L5" s="23">
        <v>104</v>
      </c>
      <c r="M5" s="23">
        <v>104</v>
      </c>
      <c r="N5" s="23">
        <v>246</v>
      </c>
      <c r="O5" s="23">
        <v>121</v>
      </c>
      <c r="P5" s="23">
        <v>125</v>
      </c>
      <c r="Q5" s="23">
        <v>243</v>
      </c>
      <c r="R5" s="23">
        <v>106</v>
      </c>
      <c r="S5" s="23">
        <v>137</v>
      </c>
      <c r="T5" s="23">
        <v>190</v>
      </c>
      <c r="U5" s="23">
        <v>75</v>
      </c>
      <c r="V5" s="23">
        <v>115</v>
      </c>
      <c r="W5" s="23">
        <v>163</v>
      </c>
      <c r="X5" s="23">
        <v>79</v>
      </c>
      <c r="Y5" s="23">
        <v>84</v>
      </c>
      <c r="Z5" s="23">
        <v>146</v>
      </c>
      <c r="AA5" s="23">
        <v>69</v>
      </c>
      <c r="AB5" s="23">
        <v>77</v>
      </c>
      <c r="AC5" s="23">
        <v>192</v>
      </c>
      <c r="AD5" s="23">
        <v>82</v>
      </c>
      <c r="AE5" s="23">
        <v>110</v>
      </c>
      <c r="AF5" s="23">
        <v>187</v>
      </c>
      <c r="AG5" s="23">
        <v>83</v>
      </c>
      <c r="AH5" s="23">
        <v>104</v>
      </c>
      <c r="AI5" s="23">
        <v>162</v>
      </c>
      <c r="AJ5" s="23">
        <v>79</v>
      </c>
      <c r="AK5" s="23">
        <v>83</v>
      </c>
      <c r="AL5" s="23">
        <v>177</v>
      </c>
      <c r="AM5" s="23">
        <v>84</v>
      </c>
      <c r="AN5" s="23">
        <v>93</v>
      </c>
      <c r="AO5" s="23">
        <v>150</v>
      </c>
      <c r="AP5" s="23">
        <v>66</v>
      </c>
      <c r="AQ5" s="23">
        <v>84</v>
      </c>
      <c r="AR5" s="23">
        <v>122</v>
      </c>
      <c r="AS5" s="23">
        <v>63</v>
      </c>
      <c r="AT5" s="23">
        <v>59</v>
      </c>
      <c r="AU5" s="23">
        <v>81</v>
      </c>
      <c r="AV5" s="23">
        <v>51</v>
      </c>
      <c r="AW5" s="23">
        <v>30</v>
      </c>
      <c r="AX5" s="23">
        <v>74</v>
      </c>
      <c r="AY5" s="23">
        <v>32</v>
      </c>
      <c r="AZ5" s="23">
        <v>42</v>
      </c>
      <c r="BA5" s="23">
        <v>40</v>
      </c>
      <c r="BB5" s="23">
        <v>15</v>
      </c>
      <c r="BC5" s="23">
        <v>25</v>
      </c>
      <c r="BD5" s="23">
        <v>12</v>
      </c>
      <c r="BE5" s="23">
        <v>7</v>
      </c>
      <c r="BF5" s="23">
        <v>5</v>
      </c>
      <c r="BG5" s="23">
        <v>9</v>
      </c>
      <c r="BH5" s="23">
        <v>5</v>
      </c>
      <c r="BI5" s="23">
        <v>4</v>
      </c>
      <c r="BJ5" s="23">
        <v>1</v>
      </c>
      <c r="BK5" s="23">
        <v>0</v>
      </c>
      <c r="BL5" s="23">
        <v>1</v>
      </c>
    </row>
    <row r="6" spans="1:64" ht="14.25" customHeight="1" x14ac:dyDescent="0.55000000000000004">
      <c r="A6" s="21">
        <v>3</v>
      </c>
      <c r="B6" s="21">
        <v>1137</v>
      </c>
      <c r="C6" s="23">
        <f t="shared" ref="C6:D6" si="2">SUM(F6,I6,L6,O6,R6,U6,X6,AA6,AD6,AG6,AJ6,AM6,AP6,AS6,AV6,AY6,BB6,BE6,BH6,BK6)</f>
        <v>539</v>
      </c>
      <c r="D6" s="23">
        <f t="shared" si="2"/>
        <v>598</v>
      </c>
      <c r="E6" s="21">
        <v>69</v>
      </c>
      <c r="F6" s="21">
        <v>35</v>
      </c>
      <c r="G6" s="21">
        <v>34</v>
      </c>
      <c r="H6" s="21">
        <v>69</v>
      </c>
      <c r="I6" s="21">
        <v>33</v>
      </c>
      <c r="J6" s="21">
        <v>36</v>
      </c>
      <c r="K6" s="21">
        <v>80</v>
      </c>
      <c r="L6" s="21">
        <v>40</v>
      </c>
      <c r="M6" s="21">
        <v>40</v>
      </c>
      <c r="N6" s="21">
        <v>96</v>
      </c>
      <c r="O6" s="21">
        <v>51</v>
      </c>
      <c r="P6" s="21">
        <v>45</v>
      </c>
      <c r="Q6" s="21">
        <v>79</v>
      </c>
      <c r="R6" s="21">
        <v>41</v>
      </c>
      <c r="S6" s="21">
        <v>38</v>
      </c>
      <c r="T6" s="21">
        <v>72</v>
      </c>
      <c r="U6" s="21">
        <v>30</v>
      </c>
      <c r="V6" s="21">
        <v>42</v>
      </c>
      <c r="W6" s="21">
        <v>68</v>
      </c>
      <c r="X6" s="21">
        <v>30</v>
      </c>
      <c r="Y6" s="21">
        <v>38</v>
      </c>
      <c r="Z6" s="21">
        <v>62</v>
      </c>
      <c r="AA6" s="21">
        <v>31</v>
      </c>
      <c r="AB6" s="21">
        <v>31</v>
      </c>
      <c r="AC6" s="21">
        <v>68</v>
      </c>
      <c r="AD6" s="21">
        <v>27</v>
      </c>
      <c r="AE6" s="21">
        <v>41</v>
      </c>
      <c r="AF6" s="21">
        <v>69</v>
      </c>
      <c r="AG6" s="21">
        <v>30</v>
      </c>
      <c r="AH6" s="21">
        <v>39</v>
      </c>
      <c r="AI6" s="21">
        <v>59</v>
      </c>
      <c r="AJ6" s="21">
        <v>27</v>
      </c>
      <c r="AK6" s="21">
        <v>32</v>
      </c>
      <c r="AL6" s="21">
        <v>75</v>
      </c>
      <c r="AM6" s="21">
        <v>30</v>
      </c>
      <c r="AN6" s="21">
        <v>45</v>
      </c>
      <c r="AO6" s="21">
        <v>68</v>
      </c>
      <c r="AP6" s="21">
        <v>34</v>
      </c>
      <c r="AQ6" s="21">
        <v>34</v>
      </c>
      <c r="AR6" s="21">
        <v>72</v>
      </c>
      <c r="AS6" s="21">
        <v>35</v>
      </c>
      <c r="AT6" s="21">
        <v>37</v>
      </c>
      <c r="AU6" s="21">
        <v>65</v>
      </c>
      <c r="AV6" s="21">
        <v>33</v>
      </c>
      <c r="AW6" s="21">
        <v>32</v>
      </c>
      <c r="AX6" s="21">
        <v>37</v>
      </c>
      <c r="AY6" s="21">
        <v>21</v>
      </c>
      <c r="AZ6" s="21">
        <v>16</v>
      </c>
      <c r="BA6" s="21">
        <v>22</v>
      </c>
      <c r="BB6" s="21">
        <v>11</v>
      </c>
      <c r="BC6" s="21">
        <v>11</v>
      </c>
      <c r="BD6" s="21">
        <v>2</v>
      </c>
      <c r="BE6" s="21">
        <v>0</v>
      </c>
      <c r="BF6" s="21">
        <v>2</v>
      </c>
      <c r="BG6" s="21">
        <v>5</v>
      </c>
      <c r="BH6" s="21">
        <v>0</v>
      </c>
      <c r="BI6" s="21">
        <v>5</v>
      </c>
      <c r="BJ6" s="21">
        <v>0</v>
      </c>
      <c r="BK6" s="21">
        <v>0</v>
      </c>
      <c r="BL6" s="21">
        <v>0</v>
      </c>
    </row>
    <row r="7" spans="1:64" ht="14.25" customHeight="1" x14ac:dyDescent="0.55000000000000004">
      <c r="A7" s="23">
        <v>4</v>
      </c>
      <c r="B7" s="23">
        <v>3222</v>
      </c>
      <c r="C7" s="23">
        <f t="shared" ref="C7:D7" si="3">SUM(F7,I7,L7,O7,R7,U7,X7,AA7,AD7,AG7,AJ7,AM7,AP7,AS7,AV7,AY7,BB7,BE7,BH7,BK7)</f>
        <v>1584</v>
      </c>
      <c r="D7" s="23">
        <f t="shared" si="3"/>
        <v>1638</v>
      </c>
      <c r="E7" s="23">
        <v>235</v>
      </c>
      <c r="F7" s="23">
        <v>121</v>
      </c>
      <c r="G7" s="23">
        <v>114</v>
      </c>
      <c r="H7" s="23">
        <v>257</v>
      </c>
      <c r="I7" s="23">
        <v>139</v>
      </c>
      <c r="J7" s="23">
        <v>118</v>
      </c>
      <c r="K7" s="23">
        <v>267</v>
      </c>
      <c r="L7" s="23">
        <v>131</v>
      </c>
      <c r="M7" s="23">
        <v>136</v>
      </c>
      <c r="N7" s="23">
        <v>284</v>
      </c>
      <c r="O7" s="23">
        <v>136</v>
      </c>
      <c r="P7" s="23">
        <v>148</v>
      </c>
      <c r="Q7" s="23">
        <v>291</v>
      </c>
      <c r="R7" s="23">
        <v>137</v>
      </c>
      <c r="S7" s="23">
        <v>154</v>
      </c>
      <c r="T7" s="23">
        <v>260</v>
      </c>
      <c r="U7" s="23">
        <v>127</v>
      </c>
      <c r="V7" s="23">
        <v>133</v>
      </c>
      <c r="W7" s="23">
        <v>248</v>
      </c>
      <c r="X7" s="23">
        <v>119</v>
      </c>
      <c r="Y7" s="23">
        <v>129</v>
      </c>
      <c r="Z7" s="23">
        <v>210</v>
      </c>
      <c r="AA7" s="23">
        <v>97</v>
      </c>
      <c r="AB7" s="23">
        <v>113</v>
      </c>
      <c r="AC7" s="23">
        <v>210</v>
      </c>
      <c r="AD7" s="23">
        <v>103</v>
      </c>
      <c r="AE7" s="23">
        <v>107</v>
      </c>
      <c r="AF7" s="23">
        <v>213</v>
      </c>
      <c r="AG7" s="23">
        <v>99</v>
      </c>
      <c r="AH7" s="23">
        <v>114</v>
      </c>
      <c r="AI7" s="23">
        <v>171</v>
      </c>
      <c r="AJ7" s="23">
        <v>82</v>
      </c>
      <c r="AK7" s="23">
        <v>89</v>
      </c>
      <c r="AL7" s="23">
        <v>152</v>
      </c>
      <c r="AM7" s="23">
        <v>78</v>
      </c>
      <c r="AN7" s="23">
        <v>74</v>
      </c>
      <c r="AO7" s="23">
        <v>122</v>
      </c>
      <c r="AP7" s="23">
        <v>63</v>
      </c>
      <c r="AQ7" s="23">
        <v>59</v>
      </c>
      <c r="AR7" s="23">
        <v>114</v>
      </c>
      <c r="AS7" s="23">
        <v>60</v>
      </c>
      <c r="AT7" s="23">
        <v>54</v>
      </c>
      <c r="AU7" s="23">
        <v>87</v>
      </c>
      <c r="AV7" s="23">
        <v>44</v>
      </c>
      <c r="AW7" s="23">
        <v>43</v>
      </c>
      <c r="AX7" s="23">
        <v>54</v>
      </c>
      <c r="AY7" s="23">
        <v>25</v>
      </c>
      <c r="AZ7" s="23">
        <v>29</v>
      </c>
      <c r="BA7" s="23">
        <v>29</v>
      </c>
      <c r="BB7" s="23">
        <v>13</v>
      </c>
      <c r="BC7" s="23">
        <v>16</v>
      </c>
      <c r="BD7" s="23">
        <v>13</v>
      </c>
      <c r="BE7" s="23">
        <v>6</v>
      </c>
      <c r="BF7" s="23">
        <v>7</v>
      </c>
      <c r="BG7" s="23">
        <v>5</v>
      </c>
      <c r="BH7" s="23">
        <v>4</v>
      </c>
      <c r="BI7" s="23">
        <v>1</v>
      </c>
      <c r="BJ7" s="23">
        <v>0</v>
      </c>
      <c r="BK7" s="23">
        <v>0</v>
      </c>
      <c r="BL7" s="23">
        <v>0</v>
      </c>
    </row>
    <row r="8" spans="1:64" ht="14.25" customHeight="1" x14ac:dyDescent="0.55000000000000004">
      <c r="A8" s="21">
        <v>5</v>
      </c>
      <c r="B8" s="21">
        <v>2793</v>
      </c>
      <c r="C8" s="23">
        <f t="shared" ref="C8:D8" si="4">SUM(F8,I8,L8,O8,R8,U8,X8,AA8,AD8,AG8,AJ8,AM8,AP8,AS8,AV8,AY8,BB8,BE8,BH8,BK8)</f>
        <v>1311</v>
      </c>
      <c r="D8" s="23">
        <f t="shared" si="4"/>
        <v>1482</v>
      </c>
      <c r="E8" s="21">
        <v>194</v>
      </c>
      <c r="F8" s="21">
        <v>100</v>
      </c>
      <c r="G8" s="21">
        <v>94</v>
      </c>
      <c r="H8" s="21">
        <v>236</v>
      </c>
      <c r="I8" s="21">
        <v>111</v>
      </c>
      <c r="J8" s="21">
        <v>125</v>
      </c>
      <c r="K8" s="21">
        <v>250</v>
      </c>
      <c r="L8" s="21">
        <v>119</v>
      </c>
      <c r="M8" s="21">
        <v>131</v>
      </c>
      <c r="N8" s="21">
        <v>301</v>
      </c>
      <c r="O8" s="21">
        <v>129</v>
      </c>
      <c r="P8" s="21">
        <v>172</v>
      </c>
      <c r="Q8" s="21">
        <v>251</v>
      </c>
      <c r="R8" s="21">
        <v>107</v>
      </c>
      <c r="S8" s="21">
        <v>144</v>
      </c>
      <c r="T8" s="21">
        <v>199</v>
      </c>
      <c r="U8" s="21">
        <v>93</v>
      </c>
      <c r="V8" s="21">
        <v>106</v>
      </c>
      <c r="W8" s="21">
        <v>164</v>
      </c>
      <c r="X8" s="21">
        <v>78</v>
      </c>
      <c r="Y8" s="21">
        <v>86</v>
      </c>
      <c r="Z8" s="21">
        <v>157</v>
      </c>
      <c r="AA8" s="21">
        <v>71</v>
      </c>
      <c r="AB8" s="21">
        <v>86</v>
      </c>
      <c r="AC8" s="21">
        <v>169</v>
      </c>
      <c r="AD8" s="21">
        <v>74</v>
      </c>
      <c r="AE8" s="21">
        <v>95</v>
      </c>
      <c r="AF8" s="21">
        <v>158</v>
      </c>
      <c r="AG8" s="21">
        <v>80</v>
      </c>
      <c r="AH8" s="21">
        <v>78</v>
      </c>
      <c r="AI8" s="21">
        <v>140</v>
      </c>
      <c r="AJ8" s="21">
        <v>67</v>
      </c>
      <c r="AK8" s="21">
        <v>73</v>
      </c>
      <c r="AL8" s="21">
        <v>161</v>
      </c>
      <c r="AM8" s="21">
        <v>77</v>
      </c>
      <c r="AN8" s="21">
        <v>84</v>
      </c>
      <c r="AO8" s="21">
        <v>115</v>
      </c>
      <c r="AP8" s="21">
        <v>59</v>
      </c>
      <c r="AQ8" s="21">
        <v>56</v>
      </c>
      <c r="AR8" s="21">
        <v>107</v>
      </c>
      <c r="AS8" s="21">
        <v>57</v>
      </c>
      <c r="AT8" s="21">
        <v>50</v>
      </c>
      <c r="AU8" s="21">
        <v>75</v>
      </c>
      <c r="AV8" s="21">
        <v>37</v>
      </c>
      <c r="AW8" s="21">
        <v>38</v>
      </c>
      <c r="AX8" s="21">
        <v>56</v>
      </c>
      <c r="AY8" s="21">
        <v>27</v>
      </c>
      <c r="AZ8" s="21">
        <v>29</v>
      </c>
      <c r="BA8" s="21">
        <v>39</v>
      </c>
      <c r="BB8" s="21">
        <v>18</v>
      </c>
      <c r="BC8" s="21">
        <v>21</v>
      </c>
      <c r="BD8" s="21">
        <v>14</v>
      </c>
      <c r="BE8" s="21">
        <v>5</v>
      </c>
      <c r="BF8" s="21">
        <v>9</v>
      </c>
      <c r="BG8" s="21">
        <v>7</v>
      </c>
      <c r="BH8" s="21">
        <v>2</v>
      </c>
      <c r="BI8" s="21">
        <v>5</v>
      </c>
      <c r="BJ8" s="21">
        <v>0</v>
      </c>
      <c r="BK8" s="21">
        <v>0</v>
      </c>
      <c r="BL8" s="21">
        <v>0</v>
      </c>
    </row>
    <row r="9" spans="1:64" ht="14.25" customHeight="1" x14ac:dyDescent="0.55000000000000004">
      <c r="A9" s="23">
        <v>6</v>
      </c>
      <c r="B9" s="23">
        <v>2691</v>
      </c>
      <c r="C9" s="23">
        <f t="shared" ref="C9:D9" si="5">SUM(F9,I9,L9,O9,R9,U9,X9,AA9,AD9,AG9,AJ9,AM9,AP9,AS9,AV9,AY9,BB9,BE9,BH9,BK9)</f>
        <v>1331</v>
      </c>
      <c r="D9" s="23">
        <f t="shared" si="5"/>
        <v>1360</v>
      </c>
      <c r="E9" s="23">
        <v>209</v>
      </c>
      <c r="F9" s="23">
        <v>108</v>
      </c>
      <c r="G9" s="23">
        <v>101</v>
      </c>
      <c r="H9" s="23">
        <v>219</v>
      </c>
      <c r="I9" s="23">
        <v>111</v>
      </c>
      <c r="J9" s="23">
        <v>108</v>
      </c>
      <c r="K9" s="23">
        <v>217</v>
      </c>
      <c r="L9" s="23">
        <v>113</v>
      </c>
      <c r="M9" s="23">
        <v>104</v>
      </c>
      <c r="N9" s="23">
        <v>195</v>
      </c>
      <c r="O9" s="23">
        <v>100</v>
      </c>
      <c r="P9" s="23">
        <v>95</v>
      </c>
      <c r="Q9" s="23">
        <v>195</v>
      </c>
      <c r="R9" s="23">
        <v>96</v>
      </c>
      <c r="S9" s="23">
        <v>99</v>
      </c>
      <c r="T9" s="23">
        <v>244</v>
      </c>
      <c r="U9" s="23">
        <v>105</v>
      </c>
      <c r="V9" s="23">
        <v>139</v>
      </c>
      <c r="W9" s="23">
        <v>248</v>
      </c>
      <c r="X9" s="23">
        <v>119</v>
      </c>
      <c r="Y9" s="23">
        <v>129</v>
      </c>
      <c r="Z9" s="23">
        <v>213</v>
      </c>
      <c r="AA9" s="23">
        <v>107</v>
      </c>
      <c r="AB9" s="23">
        <v>106</v>
      </c>
      <c r="AC9" s="23">
        <v>171</v>
      </c>
      <c r="AD9" s="23">
        <v>85</v>
      </c>
      <c r="AE9" s="23">
        <v>86</v>
      </c>
      <c r="AF9" s="23">
        <v>153</v>
      </c>
      <c r="AG9" s="23">
        <v>74</v>
      </c>
      <c r="AH9" s="23">
        <v>79</v>
      </c>
      <c r="AI9" s="23">
        <v>154</v>
      </c>
      <c r="AJ9" s="23">
        <v>72</v>
      </c>
      <c r="AK9" s="23">
        <v>82</v>
      </c>
      <c r="AL9" s="23">
        <v>157</v>
      </c>
      <c r="AM9" s="23">
        <v>79</v>
      </c>
      <c r="AN9" s="23">
        <v>78</v>
      </c>
      <c r="AO9" s="23">
        <v>112</v>
      </c>
      <c r="AP9" s="23">
        <v>54</v>
      </c>
      <c r="AQ9" s="23">
        <v>58</v>
      </c>
      <c r="AR9" s="23">
        <v>95</v>
      </c>
      <c r="AS9" s="23">
        <v>52</v>
      </c>
      <c r="AT9" s="23">
        <v>43</v>
      </c>
      <c r="AU9" s="23">
        <v>51</v>
      </c>
      <c r="AV9" s="23">
        <v>30</v>
      </c>
      <c r="AW9" s="23">
        <v>21</v>
      </c>
      <c r="AX9" s="23">
        <v>33</v>
      </c>
      <c r="AY9" s="23">
        <v>15</v>
      </c>
      <c r="AZ9" s="23">
        <v>18</v>
      </c>
      <c r="BA9" s="23">
        <v>17</v>
      </c>
      <c r="BB9" s="23">
        <v>9</v>
      </c>
      <c r="BC9" s="23">
        <v>8</v>
      </c>
      <c r="BD9" s="23">
        <v>7</v>
      </c>
      <c r="BE9" s="23">
        <v>2</v>
      </c>
      <c r="BF9" s="23">
        <v>5</v>
      </c>
      <c r="BG9" s="23">
        <v>0</v>
      </c>
      <c r="BH9" s="23">
        <v>0</v>
      </c>
      <c r="BI9" s="23">
        <v>0</v>
      </c>
      <c r="BJ9" s="23">
        <v>1</v>
      </c>
      <c r="BK9" s="23">
        <v>0</v>
      </c>
      <c r="BL9" s="23">
        <v>1</v>
      </c>
    </row>
    <row r="10" spans="1:64" ht="14.25" customHeight="1" x14ac:dyDescent="0.55000000000000004">
      <c r="A10" s="21">
        <v>7</v>
      </c>
      <c r="B10" s="21">
        <v>3356</v>
      </c>
      <c r="C10" s="23">
        <f t="shared" ref="C10:D10" si="6">SUM(F10,I10,L10,O10,R10,U10,X10,AA10,AD10,AG10,AJ10,AM10,AP10,AS10,AV10,AY10,BB10,BE10,BH10,BK10)</f>
        <v>1647</v>
      </c>
      <c r="D10" s="23">
        <f t="shared" si="6"/>
        <v>1709</v>
      </c>
      <c r="E10" s="21">
        <v>257</v>
      </c>
      <c r="F10" s="21">
        <v>132</v>
      </c>
      <c r="G10" s="21">
        <v>125</v>
      </c>
      <c r="H10" s="21">
        <v>288</v>
      </c>
      <c r="I10" s="21">
        <v>149</v>
      </c>
      <c r="J10" s="21">
        <v>139</v>
      </c>
      <c r="K10" s="21">
        <v>310</v>
      </c>
      <c r="L10" s="21">
        <v>152</v>
      </c>
      <c r="M10" s="21">
        <v>158</v>
      </c>
      <c r="N10" s="21">
        <v>296</v>
      </c>
      <c r="O10" s="21">
        <v>154</v>
      </c>
      <c r="P10" s="21">
        <v>142</v>
      </c>
      <c r="Q10" s="21">
        <v>271</v>
      </c>
      <c r="R10" s="21">
        <v>131</v>
      </c>
      <c r="S10" s="21">
        <v>140</v>
      </c>
      <c r="T10" s="21">
        <v>265</v>
      </c>
      <c r="U10" s="21">
        <v>118</v>
      </c>
      <c r="V10" s="21">
        <v>147</v>
      </c>
      <c r="W10" s="21">
        <v>291</v>
      </c>
      <c r="X10" s="21">
        <v>126</v>
      </c>
      <c r="Y10" s="21">
        <v>165</v>
      </c>
      <c r="Z10" s="21">
        <v>273</v>
      </c>
      <c r="AA10" s="21">
        <v>131</v>
      </c>
      <c r="AB10" s="21">
        <v>142</v>
      </c>
      <c r="AC10" s="21">
        <v>265</v>
      </c>
      <c r="AD10" s="21">
        <v>133</v>
      </c>
      <c r="AE10" s="21">
        <v>132</v>
      </c>
      <c r="AF10" s="21">
        <v>193</v>
      </c>
      <c r="AG10" s="21">
        <v>100</v>
      </c>
      <c r="AH10" s="21">
        <v>93</v>
      </c>
      <c r="AI10" s="21">
        <v>151</v>
      </c>
      <c r="AJ10" s="21">
        <v>74</v>
      </c>
      <c r="AK10" s="21">
        <v>77</v>
      </c>
      <c r="AL10" s="21">
        <v>146</v>
      </c>
      <c r="AM10" s="21">
        <v>72</v>
      </c>
      <c r="AN10" s="21">
        <v>74</v>
      </c>
      <c r="AO10" s="21">
        <v>111</v>
      </c>
      <c r="AP10" s="21">
        <v>56</v>
      </c>
      <c r="AQ10" s="21">
        <v>55</v>
      </c>
      <c r="AR10" s="21">
        <v>96</v>
      </c>
      <c r="AS10" s="21">
        <v>48</v>
      </c>
      <c r="AT10" s="21">
        <v>48</v>
      </c>
      <c r="AU10" s="21">
        <v>62</v>
      </c>
      <c r="AV10" s="21">
        <v>33</v>
      </c>
      <c r="AW10" s="21">
        <v>29</v>
      </c>
      <c r="AX10" s="21">
        <v>38</v>
      </c>
      <c r="AY10" s="21">
        <v>18</v>
      </c>
      <c r="AZ10" s="21">
        <v>20</v>
      </c>
      <c r="BA10" s="21">
        <v>27</v>
      </c>
      <c r="BB10" s="21">
        <v>12</v>
      </c>
      <c r="BC10" s="21">
        <v>15</v>
      </c>
      <c r="BD10" s="21">
        <v>10</v>
      </c>
      <c r="BE10" s="21">
        <v>5</v>
      </c>
      <c r="BF10" s="21">
        <v>5</v>
      </c>
      <c r="BG10" s="21">
        <v>6</v>
      </c>
      <c r="BH10" s="21">
        <v>3</v>
      </c>
      <c r="BI10" s="21">
        <v>3</v>
      </c>
      <c r="BJ10" s="21">
        <v>0</v>
      </c>
      <c r="BK10" s="21">
        <v>0</v>
      </c>
      <c r="BL10" s="21">
        <v>0</v>
      </c>
    </row>
    <row r="11" spans="1:64" ht="14.25" customHeight="1" x14ac:dyDescent="0.55000000000000004">
      <c r="A11" s="23">
        <v>8</v>
      </c>
      <c r="B11" s="23">
        <v>2964</v>
      </c>
      <c r="C11" s="23">
        <f t="shared" ref="C11:D11" si="7">SUM(F11,I11,L11,O11,R11,U11,X11,AA11,AD11,AG11,AJ11,AM11,AP11,AS11,AV11,AY11,BB11,BE11,BH11,BK11)</f>
        <v>1426</v>
      </c>
      <c r="D11" s="23">
        <f t="shared" si="7"/>
        <v>1538</v>
      </c>
      <c r="E11" s="23">
        <v>222</v>
      </c>
      <c r="F11" s="23">
        <v>114</v>
      </c>
      <c r="G11" s="23">
        <v>108</v>
      </c>
      <c r="H11" s="23">
        <v>195</v>
      </c>
      <c r="I11" s="23">
        <v>102</v>
      </c>
      <c r="J11" s="23">
        <v>93</v>
      </c>
      <c r="K11" s="23">
        <v>247</v>
      </c>
      <c r="L11" s="23">
        <v>126</v>
      </c>
      <c r="M11" s="23">
        <v>121</v>
      </c>
      <c r="N11" s="23">
        <v>264</v>
      </c>
      <c r="O11" s="23">
        <v>136</v>
      </c>
      <c r="P11" s="23">
        <v>128</v>
      </c>
      <c r="Q11" s="23">
        <v>240</v>
      </c>
      <c r="R11" s="23">
        <v>106</v>
      </c>
      <c r="S11" s="23">
        <v>134</v>
      </c>
      <c r="T11" s="23">
        <v>214</v>
      </c>
      <c r="U11" s="23">
        <v>92</v>
      </c>
      <c r="V11" s="23">
        <v>122</v>
      </c>
      <c r="W11" s="23">
        <v>244</v>
      </c>
      <c r="X11" s="23">
        <v>109</v>
      </c>
      <c r="Y11" s="23">
        <v>135</v>
      </c>
      <c r="Z11" s="23">
        <v>215</v>
      </c>
      <c r="AA11" s="23">
        <v>98</v>
      </c>
      <c r="AB11" s="23">
        <v>117</v>
      </c>
      <c r="AC11" s="23">
        <v>192</v>
      </c>
      <c r="AD11" s="23">
        <v>94</v>
      </c>
      <c r="AE11" s="23">
        <v>98</v>
      </c>
      <c r="AF11" s="23">
        <v>183</v>
      </c>
      <c r="AG11" s="23">
        <v>92</v>
      </c>
      <c r="AH11" s="23">
        <v>91</v>
      </c>
      <c r="AI11" s="23">
        <v>180</v>
      </c>
      <c r="AJ11" s="23">
        <v>73</v>
      </c>
      <c r="AK11" s="23">
        <v>107</v>
      </c>
      <c r="AL11" s="23">
        <v>166</v>
      </c>
      <c r="AM11" s="23">
        <v>77</v>
      </c>
      <c r="AN11" s="23">
        <v>89</v>
      </c>
      <c r="AO11" s="23">
        <v>141</v>
      </c>
      <c r="AP11" s="23">
        <v>78</v>
      </c>
      <c r="AQ11" s="23">
        <v>63</v>
      </c>
      <c r="AR11" s="23">
        <v>101</v>
      </c>
      <c r="AS11" s="23">
        <v>57</v>
      </c>
      <c r="AT11" s="23">
        <v>44</v>
      </c>
      <c r="AU11" s="23">
        <v>69</v>
      </c>
      <c r="AV11" s="23">
        <v>35</v>
      </c>
      <c r="AW11" s="23">
        <v>34</v>
      </c>
      <c r="AX11" s="23">
        <v>49</v>
      </c>
      <c r="AY11" s="23">
        <v>21</v>
      </c>
      <c r="AZ11" s="23">
        <v>28</v>
      </c>
      <c r="BA11" s="23">
        <v>28</v>
      </c>
      <c r="BB11" s="23">
        <v>13</v>
      </c>
      <c r="BC11" s="23">
        <v>15</v>
      </c>
      <c r="BD11" s="23">
        <v>7</v>
      </c>
      <c r="BE11" s="23">
        <v>3</v>
      </c>
      <c r="BF11" s="23">
        <v>4</v>
      </c>
      <c r="BG11" s="23">
        <v>5</v>
      </c>
      <c r="BH11" s="23">
        <v>0</v>
      </c>
      <c r="BI11" s="23">
        <v>5</v>
      </c>
      <c r="BJ11" s="23">
        <v>2</v>
      </c>
      <c r="BK11" s="23">
        <v>0</v>
      </c>
      <c r="BL11" s="23">
        <v>2</v>
      </c>
    </row>
    <row r="12" spans="1:64" ht="14.25" customHeight="1" x14ac:dyDescent="0.55000000000000004"/>
    <row r="13" spans="1:64" ht="14.25" customHeight="1" x14ac:dyDescent="0.55000000000000004">
      <c r="A13" s="23" t="s">
        <v>131</v>
      </c>
      <c r="B13" s="23">
        <f t="shared" ref="B13:D13" si="8">SUM(B4,B5,B7,B9,B11)</f>
        <v>15036</v>
      </c>
      <c r="C13" s="23">
        <f t="shared" si="8"/>
        <v>7217</v>
      </c>
      <c r="D13" s="23">
        <f t="shared" si="8"/>
        <v>7819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</row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B3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8.41796875" customWidth="1"/>
    <col min="2" max="64" width="10" customWidth="1"/>
  </cols>
  <sheetData>
    <row r="1" spans="1:64" ht="14.25" customHeight="1" x14ac:dyDescent="0.6">
      <c r="A1" s="56" t="s">
        <v>132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10"/>
      <c r="C2" s="6" t="s">
        <v>12</v>
      </c>
      <c r="D2" s="6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3">
        <v>1</v>
      </c>
      <c r="B4" s="23">
        <v>5214</v>
      </c>
      <c r="C4" s="23">
        <f t="shared" ref="C4:D4" si="0">SUM(F4,I4,L4,O4,R4,U4,X4,AA4,AD4,AG4,AJ4,AM4,AP4,AS4,AV4,AY4,BB4,BE4,BH4,BK4)</f>
        <v>2581</v>
      </c>
      <c r="D4" s="23">
        <f t="shared" si="0"/>
        <v>2633</v>
      </c>
      <c r="E4" s="23">
        <v>455</v>
      </c>
      <c r="F4" s="23">
        <v>234</v>
      </c>
      <c r="G4" s="23">
        <v>221</v>
      </c>
      <c r="H4" s="23">
        <v>447</v>
      </c>
      <c r="I4" s="23">
        <v>230</v>
      </c>
      <c r="J4" s="23">
        <v>217</v>
      </c>
      <c r="K4" s="23">
        <v>477</v>
      </c>
      <c r="L4" s="23">
        <v>240</v>
      </c>
      <c r="M4" s="23">
        <v>237</v>
      </c>
      <c r="N4" s="23">
        <v>414</v>
      </c>
      <c r="O4" s="23">
        <v>215</v>
      </c>
      <c r="P4" s="23">
        <v>199</v>
      </c>
      <c r="Q4" s="23">
        <v>448</v>
      </c>
      <c r="R4" s="23">
        <v>220</v>
      </c>
      <c r="S4" s="23">
        <v>228</v>
      </c>
      <c r="T4" s="23">
        <v>437</v>
      </c>
      <c r="U4" s="23">
        <v>196</v>
      </c>
      <c r="V4" s="23">
        <v>241</v>
      </c>
      <c r="W4" s="23">
        <v>510</v>
      </c>
      <c r="X4" s="23">
        <v>236</v>
      </c>
      <c r="Y4" s="23">
        <v>274</v>
      </c>
      <c r="Z4" s="23">
        <v>403</v>
      </c>
      <c r="AA4" s="23">
        <v>191</v>
      </c>
      <c r="AB4" s="23">
        <v>212</v>
      </c>
      <c r="AC4" s="23">
        <v>364</v>
      </c>
      <c r="AD4" s="23">
        <v>181</v>
      </c>
      <c r="AE4" s="23">
        <v>183</v>
      </c>
      <c r="AF4" s="23">
        <v>304</v>
      </c>
      <c r="AG4" s="23">
        <v>160</v>
      </c>
      <c r="AH4" s="23">
        <v>144</v>
      </c>
      <c r="AI4" s="23">
        <v>249</v>
      </c>
      <c r="AJ4" s="23">
        <v>128</v>
      </c>
      <c r="AK4" s="23">
        <v>121</v>
      </c>
      <c r="AL4" s="23">
        <v>217</v>
      </c>
      <c r="AM4" s="23">
        <v>112</v>
      </c>
      <c r="AN4" s="23">
        <v>105</v>
      </c>
      <c r="AO4" s="23">
        <v>158</v>
      </c>
      <c r="AP4" s="23">
        <v>85</v>
      </c>
      <c r="AQ4" s="23">
        <v>73</v>
      </c>
      <c r="AR4" s="23">
        <v>118</v>
      </c>
      <c r="AS4" s="23">
        <v>62</v>
      </c>
      <c r="AT4" s="23">
        <v>56</v>
      </c>
      <c r="AU4" s="23">
        <v>92</v>
      </c>
      <c r="AV4" s="23">
        <v>40</v>
      </c>
      <c r="AW4" s="23">
        <v>52</v>
      </c>
      <c r="AX4" s="23">
        <v>64</v>
      </c>
      <c r="AY4" s="23">
        <v>26</v>
      </c>
      <c r="AZ4" s="23">
        <v>38</v>
      </c>
      <c r="BA4" s="23">
        <v>33</v>
      </c>
      <c r="BB4" s="23">
        <v>14</v>
      </c>
      <c r="BC4" s="23">
        <v>19</v>
      </c>
      <c r="BD4" s="23">
        <v>13</v>
      </c>
      <c r="BE4" s="23">
        <v>6</v>
      </c>
      <c r="BF4" s="23">
        <v>7</v>
      </c>
      <c r="BG4" s="23">
        <v>10</v>
      </c>
      <c r="BH4" s="23">
        <v>5</v>
      </c>
      <c r="BI4" s="23">
        <v>5</v>
      </c>
      <c r="BJ4" s="23">
        <v>1</v>
      </c>
      <c r="BK4" s="23">
        <v>0</v>
      </c>
      <c r="BL4" s="23">
        <v>1</v>
      </c>
    </row>
    <row r="5" spans="1:64" ht="14.25" customHeight="1" x14ac:dyDescent="0.55000000000000004">
      <c r="A5" s="23">
        <v>2</v>
      </c>
      <c r="B5" s="23">
        <v>4076</v>
      </c>
      <c r="C5" s="23">
        <f t="shared" ref="C5:D5" si="1">SUM(F5,I5,L5,O5,R5,U5,X5,AA5,AD5,AG5,AJ5,AM5,AP5,AS5,AV5,AY5,BB5,BE5,BH5,BK5)</f>
        <v>2052</v>
      </c>
      <c r="D5" s="23">
        <f t="shared" si="1"/>
        <v>2024</v>
      </c>
      <c r="E5" s="23">
        <v>326</v>
      </c>
      <c r="F5" s="23">
        <v>168</v>
      </c>
      <c r="G5" s="23">
        <v>158</v>
      </c>
      <c r="H5" s="23">
        <v>314</v>
      </c>
      <c r="I5" s="23">
        <v>160</v>
      </c>
      <c r="J5" s="23">
        <v>154</v>
      </c>
      <c r="K5" s="23">
        <v>324</v>
      </c>
      <c r="L5" s="23">
        <v>161</v>
      </c>
      <c r="M5" s="23">
        <v>163</v>
      </c>
      <c r="N5" s="23">
        <v>374</v>
      </c>
      <c r="O5" s="23">
        <v>192</v>
      </c>
      <c r="P5" s="23">
        <v>182</v>
      </c>
      <c r="Q5" s="23">
        <v>391</v>
      </c>
      <c r="R5" s="23">
        <v>211</v>
      </c>
      <c r="S5" s="23">
        <v>180</v>
      </c>
      <c r="T5" s="23">
        <v>350</v>
      </c>
      <c r="U5" s="23">
        <v>174</v>
      </c>
      <c r="V5" s="23">
        <v>176</v>
      </c>
      <c r="W5" s="23">
        <v>325</v>
      </c>
      <c r="X5" s="23">
        <v>155</v>
      </c>
      <c r="Y5" s="23">
        <v>170</v>
      </c>
      <c r="Z5" s="23">
        <v>262</v>
      </c>
      <c r="AA5" s="23">
        <v>136</v>
      </c>
      <c r="AB5" s="23">
        <v>126</v>
      </c>
      <c r="AC5" s="23">
        <v>278</v>
      </c>
      <c r="AD5" s="23">
        <v>128</v>
      </c>
      <c r="AE5" s="23">
        <v>150</v>
      </c>
      <c r="AF5" s="23">
        <v>261</v>
      </c>
      <c r="AG5" s="23">
        <v>127</v>
      </c>
      <c r="AH5" s="23">
        <v>134</v>
      </c>
      <c r="AI5" s="23">
        <v>204</v>
      </c>
      <c r="AJ5" s="23">
        <v>105</v>
      </c>
      <c r="AK5" s="23">
        <v>99</v>
      </c>
      <c r="AL5" s="23">
        <v>183</v>
      </c>
      <c r="AM5" s="23">
        <v>96</v>
      </c>
      <c r="AN5" s="23">
        <v>87</v>
      </c>
      <c r="AO5" s="23">
        <v>145</v>
      </c>
      <c r="AP5" s="23">
        <v>73</v>
      </c>
      <c r="AQ5" s="23">
        <v>72</v>
      </c>
      <c r="AR5" s="23">
        <v>131</v>
      </c>
      <c r="AS5" s="23">
        <v>65</v>
      </c>
      <c r="AT5" s="23">
        <v>66</v>
      </c>
      <c r="AU5" s="23">
        <v>98</v>
      </c>
      <c r="AV5" s="23">
        <v>45</v>
      </c>
      <c r="AW5" s="23">
        <v>53</v>
      </c>
      <c r="AX5" s="23">
        <v>56</v>
      </c>
      <c r="AY5" s="23">
        <v>28</v>
      </c>
      <c r="AZ5" s="23">
        <v>28</v>
      </c>
      <c r="BA5" s="23">
        <v>33</v>
      </c>
      <c r="BB5" s="23">
        <v>17</v>
      </c>
      <c r="BC5" s="23">
        <v>16</v>
      </c>
      <c r="BD5" s="23">
        <v>12</v>
      </c>
      <c r="BE5" s="23">
        <v>7</v>
      </c>
      <c r="BF5" s="23">
        <v>5</v>
      </c>
      <c r="BG5" s="23">
        <v>9</v>
      </c>
      <c r="BH5" s="23">
        <v>4</v>
      </c>
      <c r="BI5" s="23">
        <v>5</v>
      </c>
      <c r="BJ5" s="23">
        <v>0</v>
      </c>
      <c r="BK5" s="23">
        <v>0</v>
      </c>
      <c r="BL5" s="23">
        <v>0</v>
      </c>
    </row>
    <row r="6" spans="1:64" ht="14.25" customHeight="1" x14ac:dyDescent="0.55000000000000004">
      <c r="A6" s="21">
        <v>3</v>
      </c>
      <c r="B6" s="21">
        <v>1932</v>
      </c>
      <c r="C6" s="23">
        <f t="shared" ref="C6:D6" si="2">SUM(F6,I6,L6,O6,R6,U6,X6,AA6,AD6,AG6,AJ6,AM6,AP6,AS6,AV6,AY6,BB6,BE6,BH6,BK6)</f>
        <v>955</v>
      </c>
      <c r="D6" s="23">
        <f t="shared" si="2"/>
        <v>977</v>
      </c>
      <c r="E6" s="21">
        <v>150</v>
      </c>
      <c r="F6" s="21">
        <v>77</v>
      </c>
      <c r="G6" s="21">
        <v>73</v>
      </c>
      <c r="H6" s="21">
        <v>184</v>
      </c>
      <c r="I6" s="21">
        <v>95</v>
      </c>
      <c r="J6" s="21">
        <v>89</v>
      </c>
      <c r="K6" s="21">
        <v>205</v>
      </c>
      <c r="L6" s="21">
        <v>109</v>
      </c>
      <c r="M6" s="21">
        <v>96</v>
      </c>
      <c r="N6" s="21">
        <v>232</v>
      </c>
      <c r="O6" s="21">
        <v>112</v>
      </c>
      <c r="P6" s="21">
        <v>120</v>
      </c>
      <c r="Q6" s="21">
        <v>191</v>
      </c>
      <c r="R6" s="21">
        <v>93</v>
      </c>
      <c r="S6" s="21">
        <v>98</v>
      </c>
      <c r="T6" s="21">
        <v>139</v>
      </c>
      <c r="U6" s="21">
        <v>66</v>
      </c>
      <c r="V6" s="21">
        <v>73</v>
      </c>
      <c r="W6" s="21">
        <v>121</v>
      </c>
      <c r="X6" s="21">
        <v>55</v>
      </c>
      <c r="Y6" s="21">
        <v>66</v>
      </c>
      <c r="Z6" s="21">
        <v>114</v>
      </c>
      <c r="AA6" s="21">
        <v>48</v>
      </c>
      <c r="AB6" s="21">
        <v>66</v>
      </c>
      <c r="AC6" s="21">
        <v>126</v>
      </c>
      <c r="AD6" s="21">
        <v>63</v>
      </c>
      <c r="AE6" s="21">
        <v>63</v>
      </c>
      <c r="AF6" s="21">
        <v>100</v>
      </c>
      <c r="AG6" s="21">
        <v>48</v>
      </c>
      <c r="AH6" s="21">
        <v>52</v>
      </c>
      <c r="AI6" s="21">
        <v>73</v>
      </c>
      <c r="AJ6" s="21">
        <v>38</v>
      </c>
      <c r="AK6" s="21">
        <v>35</v>
      </c>
      <c r="AL6" s="21">
        <v>83</v>
      </c>
      <c r="AM6" s="21">
        <v>45</v>
      </c>
      <c r="AN6" s="21">
        <v>38</v>
      </c>
      <c r="AO6" s="21">
        <v>61</v>
      </c>
      <c r="AP6" s="21">
        <v>33</v>
      </c>
      <c r="AQ6" s="21">
        <v>28</v>
      </c>
      <c r="AR6" s="21">
        <v>53</v>
      </c>
      <c r="AS6" s="21">
        <v>27</v>
      </c>
      <c r="AT6" s="21">
        <v>26</v>
      </c>
      <c r="AU6" s="21">
        <v>44</v>
      </c>
      <c r="AV6" s="21">
        <v>21</v>
      </c>
      <c r="AW6" s="21">
        <v>23</v>
      </c>
      <c r="AX6" s="21">
        <v>32</v>
      </c>
      <c r="AY6" s="21">
        <v>12</v>
      </c>
      <c r="AZ6" s="21">
        <v>20</v>
      </c>
      <c r="BA6" s="21">
        <v>19</v>
      </c>
      <c r="BB6" s="21">
        <v>10</v>
      </c>
      <c r="BC6" s="21">
        <v>9</v>
      </c>
      <c r="BD6" s="21">
        <v>5</v>
      </c>
      <c r="BE6" s="21">
        <v>3</v>
      </c>
      <c r="BF6" s="21">
        <v>2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</row>
    <row r="7" spans="1:64" ht="14.25" customHeight="1" x14ac:dyDescent="0.55000000000000004">
      <c r="A7" s="21">
        <v>4</v>
      </c>
      <c r="B7" s="21">
        <v>2826</v>
      </c>
      <c r="C7" s="23">
        <f t="shared" ref="C7:D7" si="3">SUM(F7,I7,L7,O7,R7,U7,X7,AA7,AD7,AG7,AJ7,AM7,AP7,AS7,AV7,AY7,BB7,BE7,BH7,BK7)</f>
        <v>1421</v>
      </c>
      <c r="D7" s="23">
        <f t="shared" si="3"/>
        <v>1405</v>
      </c>
      <c r="E7" s="21">
        <v>222</v>
      </c>
      <c r="F7" s="21">
        <v>114</v>
      </c>
      <c r="G7" s="21">
        <v>108</v>
      </c>
      <c r="H7" s="21">
        <v>325</v>
      </c>
      <c r="I7" s="21">
        <v>162</v>
      </c>
      <c r="J7" s="21">
        <v>163</v>
      </c>
      <c r="K7" s="21">
        <v>335</v>
      </c>
      <c r="L7" s="21">
        <v>167</v>
      </c>
      <c r="M7" s="21">
        <v>168</v>
      </c>
      <c r="N7" s="21">
        <v>336</v>
      </c>
      <c r="O7" s="21">
        <v>170</v>
      </c>
      <c r="P7" s="21">
        <v>166</v>
      </c>
      <c r="Q7" s="21">
        <v>282</v>
      </c>
      <c r="R7" s="21">
        <v>145</v>
      </c>
      <c r="S7" s="21">
        <v>137</v>
      </c>
      <c r="T7" s="21">
        <v>230</v>
      </c>
      <c r="U7" s="21">
        <v>108</v>
      </c>
      <c r="V7" s="21">
        <v>122</v>
      </c>
      <c r="W7" s="21">
        <v>194</v>
      </c>
      <c r="X7" s="21">
        <v>99</v>
      </c>
      <c r="Y7" s="21">
        <v>95</v>
      </c>
      <c r="Z7" s="21">
        <v>154</v>
      </c>
      <c r="AA7" s="21">
        <v>76</v>
      </c>
      <c r="AB7" s="21">
        <v>78</v>
      </c>
      <c r="AC7" s="21">
        <v>141</v>
      </c>
      <c r="AD7" s="21">
        <v>64</v>
      </c>
      <c r="AE7" s="21">
        <v>77</v>
      </c>
      <c r="AF7" s="21">
        <v>118</v>
      </c>
      <c r="AG7" s="21">
        <v>61</v>
      </c>
      <c r="AH7" s="21">
        <v>57</v>
      </c>
      <c r="AI7" s="21">
        <v>109</v>
      </c>
      <c r="AJ7" s="21">
        <v>53</v>
      </c>
      <c r="AK7" s="21">
        <v>56</v>
      </c>
      <c r="AL7" s="21">
        <v>105</v>
      </c>
      <c r="AM7" s="21">
        <v>53</v>
      </c>
      <c r="AN7" s="21">
        <v>52</v>
      </c>
      <c r="AO7" s="21">
        <v>80</v>
      </c>
      <c r="AP7" s="21">
        <v>45</v>
      </c>
      <c r="AQ7" s="21">
        <v>35</v>
      </c>
      <c r="AR7" s="21">
        <v>58</v>
      </c>
      <c r="AS7" s="21">
        <v>36</v>
      </c>
      <c r="AT7" s="21">
        <v>22</v>
      </c>
      <c r="AU7" s="21">
        <v>64</v>
      </c>
      <c r="AV7" s="21">
        <v>33</v>
      </c>
      <c r="AW7" s="21">
        <v>31</v>
      </c>
      <c r="AX7" s="21">
        <v>48</v>
      </c>
      <c r="AY7" s="21">
        <v>25</v>
      </c>
      <c r="AZ7" s="21">
        <v>23</v>
      </c>
      <c r="BA7" s="21">
        <v>19</v>
      </c>
      <c r="BB7" s="21">
        <v>9</v>
      </c>
      <c r="BC7" s="21">
        <v>10</v>
      </c>
      <c r="BD7" s="21">
        <v>6</v>
      </c>
      <c r="BE7" s="21">
        <v>1</v>
      </c>
      <c r="BF7" s="21">
        <v>5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</row>
    <row r="8" spans="1:64" ht="14.25" customHeight="1" x14ac:dyDescent="0.55000000000000004">
      <c r="A8" s="23">
        <v>5</v>
      </c>
      <c r="B8" s="23">
        <v>3788</v>
      </c>
      <c r="C8" s="23">
        <f t="shared" ref="C8:D8" si="4">SUM(F8,I8,L8,O8,R8,U8,X8,AA8,AD8,AG8,AJ8,AM8,AP8,AS8,AV8,AY8,BB8,BE8,BH8,BK8)</f>
        <v>1875</v>
      </c>
      <c r="D8" s="23">
        <f t="shared" si="4"/>
        <v>1913</v>
      </c>
      <c r="E8" s="23">
        <v>311</v>
      </c>
      <c r="F8" s="23">
        <v>160</v>
      </c>
      <c r="G8" s="23">
        <v>151</v>
      </c>
      <c r="H8" s="23">
        <v>261</v>
      </c>
      <c r="I8" s="23">
        <v>137</v>
      </c>
      <c r="J8" s="23">
        <v>124</v>
      </c>
      <c r="K8" s="23">
        <v>317</v>
      </c>
      <c r="L8" s="23">
        <v>172</v>
      </c>
      <c r="M8" s="23">
        <v>145</v>
      </c>
      <c r="N8" s="23">
        <v>348</v>
      </c>
      <c r="O8" s="23">
        <v>182</v>
      </c>
      <c r="P8" s="23">
        <v>166</v>
      </c>
      <c r="Q8" s="23">
        <v>369</v>
      </c>
      <c r="R8" s="23">
        <v>183</v>
      </c>
      <c r="S8" s="23">
        <v>186</v>
      </c>
      <c r="T8" s="23">
        <v>316</v>
      </c>
      <c r="U8" s="23">
        <v>153</v>
      </c>
      <c r="V8" s="23">
        <v>163</v>
      </c>
      <c r="W8" s="23">
        <v>265</v>
      </c>
      <c r="X8" s="23">
        <v>123</v>
      </c>
      <c r="Y8" s="23">
        <v>142</v>
      </c>
      <c r="Z8" s="23">
        <v>241</v>
      </c>
      <c r="AA8" s="23">
        <v>105</v>
      </c>
      <c r="AB8" s="23">
        <v>136</v>
      </c>
      <c r="AC8" s="23">
        <v>257</v>
      </c>
      <c r="AD8" s="23">
        <v>116</v>
      </c>
      <c r="AE8" s="23">
        <v>141</v>
      </c>
      <c r="AF8" s="23">
        <v>247</v>
      </c>
      <c r="AG8" s="23">
        <v>114</v>
      </c>
      <c r="AH8" s="23">
        <v>133</v>
      </c>
      <c r="AI8" s="23">
        <v>203</v>
      </c>
      <c r="AJ8" s="23">
        <v>99</v>
      </c>
      <c r="AK8" s="23">
        <v>104</v>
      </c>
      <c r="AL8" s="23">
        <v>199</v>
      </c>
      <c r="AM8" s="23">
        <v>102</v>
      </c>
      <c r="AN8" s="23">
        <v>97</v>
      </c>
      <c r="AO8" s="23">
        <v>134</v>
      </c>
      <c r="AP8" s="23">
        <v>70</v>
      </c>
      <c r="AQ8" s="23">
        <v>64</v>
      </c>
      <c r="AR8" s="23">
        <v>114</v>
      </c>
      <c r="AS8" s="23">
        <v>60</v>
      </c>
      <c r="AT8" s="23">
        <v>54</v>
      </c>
      <c r="AU8" s="23">
        <v>92</v>
      </c>
      <c r="AV8" s="23">
        <v>43</v>
      </c>
      <c r="AW8" s="23">
        <v>49</v>
      </c>
      <c r="AX8" s="23">
        <v>65</v>
      </c>
      <c r="AY8" s="23">
        <v>33</v>
      </c>
      <c r="AZ8" s="23">
        <v>32</v>
      </c>
      <c r="BA8" s="23">
        <v>31</v>
      </c>
      <c r="BB8" s="23">
        <v>14</v>
      </c>
      <c r="BC8" s="23">
        <v>17</v>
      </c>
      <c r="BD8" s="23">
        <v>11</v>
      </c>
      <c r="BE8" s="23">
        <v>5</v>
      </c>
      <c r="BF8" s="23">
        <v>6</v>
      </c>
      <c r="BG8" s="23">
        <v>7</v>
      </c>
      <c r="BH8" s="23">
        <v>4</v>
      </c>
      <c r="BI8" s="23">
        <v>3</v>
      </c>
      <c r="BJ8" s="23">
        <v>0</v>
      </c>
      <c r="BK8" s="23">
        <v>0</v>
      </c>
      <c r="BL8" s="23">
        <v>0</v>
      </c>
    </row>
    <row r="9" spans="1:64" ht="14.25" customHeight="1" x14ac:dyDescent="0.55000000000000004">
      <c r="A9" s="23">
        <v>6</v>
      </c>
      <c r="B9" s="23">
        <v>4625</v>
      </c>
      <c r="C9" s="23">
        <f t="shared" ref="C9:D9" si="5">SUM(F9,I9,L9,O9,R9,U9,X9,AA9,AD9,AG9,AJ9,AM9,AP9,AS9,AV9,AY9,BB9,BE9,BH9,BK9)</f>
        <v>2296</v>
      </c>
      <c r="D9" s="23">
        <f t="shared" si="5"/>
        <v>2329</v>
      </c>
      <c r="E9" s="23">
        <v>376</v>
      </c>
      <c r="F9" s="23">
        <v>194</v>
      </c>
      <c r="G9" s="23">
        <v>182</v>
      </c>
      <c r="H9" s="23">
        <v>370</v>
      </c>
      <c r="I9" s="23">
        <v>178</v>
      </c>
      <c r="J9" s="23">
        <v>192</v>
      </c>
      <c r="K9" s="23">
        <v>405</v>
      </c>
      <c r="L9" s="23">
        <v>202</v>
      </c>
      <c r="M9" s="23">
        <v>203</v>
      </c>
      <c r="N9" s="23">
        <v>435</v>
      </c>
      <c r="O9" s="23">
        <v>235</v>
      </c>
      <c r="P9" s="23">
        <v>200</v>
      </c>
      <c r="Q9" s="23">
        <v>434</v>
      </c>
      <c r="R9" s="23">
        <v>219</v>
      </c>
      <c r="S9" s="23">
        <v>215</v>
      </c>
      <c r="T9" s="23">
        <v>374</v>
      </c>
      <c r="U9" s="23">
        <v>175</v>
      </c>
      <c r="V9" s="23">
        <v>199</v>
      </c>
      <c r="W9" s="23">
        <v>371</v>
      </c>
      <c r="X9" s="23">
        <v>185</v>
      </c>
      <c r="Y9" s="23">
        <v>186</v>
      </c>
      <c r="Z9" s="23">
        <v>304</v>
      </c>
      <c r="AA9" s="23">
        <v>144</v>
      </c>
      <c r="AB9" s="23">
        <v>160</v>
      </c>
      <c r="AC9" s="23">
        <v>318</v>
      </c>
      <c r="AD9" s="23">
        <v>151</v>
      </c>
      <c r="AE9" s="23">
        <v>167</v>
      </c>
      <c r="AF9" s="23">
        <v>279</v>
      </c>
      <c r="AG9" s="23">
        <v>140</v>
      </c>
      <c r="AH9" s="23">
        <v>139</v>
      </c>
      <c r="AI9" s="23">
        <v>208</v>
      </c>
      <c r="AJ9" s="23">
        <v>105</v>
      </c>
      <c r="AK9" s="23">
        <v>103</v>
      </c>
      <c r="AL9" s="23">
        <v>180</v>
      </c>
      <c r="AM9" s="23">
        <v>89</v>
      </c>
      <c r="AN9" s="23">
        <v>91</v>
      </c>
      <c r="AO9" s="23">
        <v>170</v>
      </c>
      <c r="AP9" s="23">
        <v>84</v>
      </c>
      <c r="AQ9" s="23">
        <v>86</v>
      </c>
      <c r="AR9" s="23">
        <v>134</v>
      </c>
      <c r="AS9" s="23">
        <v>65</v>
      </c>
      <c r="AT9" s="23">
        <v>69</v>
      </c>
      <c r="AU9" s="23">
        <v>109</v>
      </c>
      <c r="AV9" s="23">
        <v>53</v>
      </c>
      <c r="AW9" s="23">
        <v>56</v>
      </c>
      <c r="AX9" s="23">
        <v>85</v>
      </c>
      <c r="AY9" s="23">
        <v>40</v>
      </c>
      <c r="AZ9" s="23">
        <v>45</v>
      </c>
      <c r="BA9" s="23">
        <v>43</v>
      </c>
      <c r="BB9" s="23">
        <v>22</v>
      </c>
      <c r="BC9" s="23">
        <v>21</v>
      </c>
      <c r="BD9" s="23">
        <v>21</v>
      </c>
      <c r="BE9" s="23">
        <v>11</v>
      </c>
      <c r="BF9" s="23">
        <v>10</v>
      </c>
      <c r="BG9" s="23">
        <v>9</v>
      </c>
      <c r="BH9" s="23">
        <v>4</v>
      </c>
      <c r="BI9" s="23">
        <v>5</v>
      </c>
      <c r="BJ9" s="23">
        <v>0</v>
      </c>
      <c r="BK9" s="23">
        <v>0</v>
      </c>
      <c r="BL9" s="23">
        <v>0</v>
      </c>
    </row>
    <row r="10" spans="1:64" ht="14.25" customHeight="1" x14ac:dyDescent="0.55000000000000004">
      <c r="A10" s="21">
        <v>7</v>
      </c>
      <c r="B10" s="21">
        <v>2167</v>
      </c>
      <c r="C10" s="23">
        <f t="shared" ref="C10:D10" si="6">SUM(F10,I10,L10,O10,R10,U10,X10,AA10,AD10,AG10,AJ10,AM10,AP10,AS10,AV10,AY10,BB10,BE10,BH10,BK10)</f>
        <v>1092</v>
      </c>
      <c r="D10" s="23">
        <f t="shared" si="6"/>
        <v>1075</v>
      </c>
      <c r="E10" s="21">
        <v>175</v>
      </c>
      <c r="F10" s="21">
        <v>90</v>
      </c>
      <c r="G10" s="21">
        <v>85</v>
      </c>
      <c r="H10" s="21">
        <v>153</v>
      </c>
      <c r="I10" s="21">
        <v>73</v>
      </c>
      <c r="J10" s="21">
        <v>80</v>
      </c>
      <c r="K10" s="21">
        <v>190</v>
      </c>
      <c r="L10" s="21">
        <v>107</v>
      </c>
      <c r="M10" s="21">
        <v>83</v>
      </c>
      <c r="N10" s="21">
        <v>235</v>
      </c>
      <c r="O10" s="21">
        <v>127</v>
      </c>
      <c r="P10" s="21">
        <v>108</v>
      </c>
      <c r="Q10" s="21">
        <v>212</v>
      </c>
      <c r="R10" s="21">
        <v>99</v>
      </c>
      <c r="S10" s="21">
        <v>113</v>
      </c>
      <c r="T10" s="21">
        <v>181</v>
      </c>
      <c r="U10" s="21">
        <v>87</v>
      </c>
      <c r="V10" s="21">
        <v>94</v>
      </c>
      <c r="W10" s="21">
        <v>155</v>
      </c>
      <c r="X10" s="21">
        <v>81</v>
      </c>
      <c r="Y10" s="21">
        <v>74</v>
      </c>
      <c r="Z10" s="21">
        <v>111</v>
      </c>
      <c r="AA10" s="21">
        <v>55</v>
      </c>
      <c r="AB10" s="21">
        <v>56</v>
      </c>
      <c r="AC10" s="21">
        <v>126</v>
      </c>
      <c r="AD10" s="21">
        <v>57</v>
      </c>
      <c r="AE10" s="21">
        <v>69</v>
      </c>
      <c r="AF10" s="21">
        <v>124</v>
      </c>
      <c r="AG10" s="21">
        <v>63</v>
      </c>
      <c r="AH10" s="21">
        <v>61</v>
      </c>
      <c r="AI10" s="21">
        <v>113</v>
      </c>
      <c r="AJ10" s="21">
        <v>58</v>
      </c>
      <c r="AK10" s="21">
        <v>55</v>
      </c>
      <c r="AL10" s="21">
        <v>88</v>
      </c>
      <c r="AM10" s="21">
        <v>43</v>
      </c>
      <c r="AN10" s="21">
        <v>45</v>
      </c>
      <c r="AO10" s="21">
        <v>81</v>
      </c>
      <c r="AP10" s="21">
        <v>44</v>
      </c>
      <c r="AQ10" s="21">
        <v>37</v>
      </c>
      <c r="AR10" s="21">
        <v>74</v>
      </c>
      <c r="AS10" s="21">
        <v>36</v>
      </c>
      <c r="AT10" s="21">
        <v>38</v>
      </c>
      <c r="AU10" s="21">
        <v>63</v>
      </c>
      <c r="AV10" s="21">
        <v>30</v>
      </c>
      <c r="AW10" s="21">
        <v>33</v>
      </c>
      <c r="AX10" s="21">
        <v>48</v>
      </c>
      <c r="AY10" s="21">
        <v>24</v>
      </c>
      <c r="AZ10" s="21">
        <v>24</v>
      </c>
      <c r="BA10" s="21">
        <v>25</v>
      </c>
      <c r="BB10" s="21">
        <v>11</v>
      </c>
      <c r="BC10" s="21">
        <v>14</v>
      </c>
      <c r="BD10" s="21">
        <v>10</v>
      </c>
      <c r="BE10" s="21">
        <v>5</v>
      </c>
      <c r="BF10" s="21">
        <v>5</v>
      </c>
      <c r="BG10" s="21">
        <v>2</v>
      </c>
      <c r="BH10" s="21">
        <v>2</v>
      </c>
      <c r="BI10" s="21">
        <v>0</v>
      </c>
      <c r="BJ10" s="21">
        <v>1</v>
      </c>
      <c r="BK10" s="21">
        <v>0</v>
      </c>
      <c r="BL10" s="21">
        <v>1</v>
      </c>
    </row>
    <row r="11" spans="1:64" ht="14.25" customHeight="1" x14ac:dyDescent="0.55000000000000004">
      <c r="A11" s="21">
        <v>8</v>
      </c>
      <c r="B11" s="21">
        <v>3088</v>
      </c>
      <c r="C11" s="23">
        <f t="shared" ref="C11:D11" si="7">SUM(F11,I11,L11,O11,R11,U11,X11,AA11,AD11,AG11,AJ11,AM11,AP11,AS11,AV11,AY11,BB11,BE11,BH11,BK11)</f>
        <v>1537</v>
      </c>
      <c r="D11" s="23">
        <f t="shared" si="7"/>
        <v>1551</v>
      </c>
      <c r="E11" s="21">
        <v>228</v>
      </c>
      <c r="F11" s="21">
        <v>118</v>
      </c>
      <c r="G11" s="21">
        <v>110</v>
      </c>
      <c r="H11" s="21">
        <v>258</v>
      </c>
      <c r="I11" s="21">
        <v>128</v>
      </c>
      <c r="J11" s="21">
        <v>130</v>
      </c>
      <c r="K11" s="21">
        <v>302</v>
      </c>
      <c r="L11" s="21">
        <v>159</v>
      </c>
      <c r="M11" s="21">
        <v>143</v>
      </c>
      <c r="N11" s="21">
        <v>352</v>
      </c>
      <c r="O11" s="21">
        <v>179</v>
      </c>
      <c r="P11" s="21">
        <v>173</v>
      </c>
      <c r="Q11" s="21">
        <v>281</v>
      </c>
      <c r="R11" s="21">
        <v>143</v>
      </c>
      <c r="S11" s="21">
        <v>138</v>
      </c>
      <c r="T11" s="21">
        <v>227</v>
      </c>
      <c r="U11" s="21">
        <v>109</v>
      </c>
      <c r="V11" s="21">
        <v>118</v>
      </c>
      <c r="W11" s="21">
        <v>197</v>
      </c>
      <c r="X11" s="21">
        <v>91</v>
      </c>
      <c r="Y11" s="21">
        <v>106</v>
      </c>
      <c r="Z11" s="21">
        <v>186</v>
      </c>
      <c r="AA11" s="21">
        <v>89</v>
      </c>
      <c r="AB11" s="21">
        <v>97</v>
      </c>
      <c r="AC11" s="21">
        <v>189</v>
      </c>
      <c r="AD11" s="21">
        <v>91</v>
      </c>
      <c r="AE11" s="21">
        <v>98</v>
      </c>
      <c r="AF11" s="21">
        <v>175</v>
      </c>
      <c r="AG11" s="21">
        <v>87</v>
      </c>
      <c r="AH11" s="21">
        <v>88</v>
      </c>
      <c r="AI11" s="21">
        <v>147</v>
      </c>
      <c r="AJ11" s="21">
        <v>79</v>
      </c>
      <c r="AK11" s="21">
        <v>68</v>
      </c>
      <c r="AL11" s="21">
        <v>137</v>
      </c>
      <c r="AM11" s="21">
        <v>71</v>
      </c>
      <c r="AN11" s="21">
        <v>66</v>
      </c>
      <c r="AO11" s="21">
        <v>111</v>
      </c>
      <c r="AP11" s="21">
        <v>52</v>
      </c>
      <c r="AQ11" s="21">
        <v>59</v>
      </c>
      <c r="AR11" s="21">
        <v>109</v>
      </c>
      <c r="AS11" s="21">
        <v>53</v>
      </c>
      <c r="AT11" s="21">
        <v>56</v>
      </c>
      <c r="AU11" s="21">
        <v>86</v>
      </c>
      <c r="AV11" s="21">
        <v>42</v>
      </c>
      <c r="AW11" s="21">
        <v>44</v>
      </c>
      <c r="AX11" s="21">
        <v>54</v>
      </c>
      <c r="AY11" s="21">
        <v>24</v>
      </c>
      <c r="AZ11" s="21">
        <v>30</v>
      </c>
      <c r="BA11" s="21">
        <v>29</v>
      </c>
      <c r="BB11" s="21">
        <v>13</v>
      </c>
      <c r="BC11" s="21">
        <v>16</v>
      </c>
      <c r="BD11" s="21">
        <v>10</v>
      </c>
      <c r="BE11" s="21">
        <v>5</v>
      </c>
      <c r="BF11" s="21">
        <v>5</v>
      </c>
      <c r="BG11" s="21">
        <v>9</v>
      </c>
      <c r="BH11" s="21">
        <v>4</v>
      </c>
      <c r="BI11" s="21">
        <v>5</v>
      </c>
      <c r="BJ11" s="21">
        <v>1</v>
      </c>
      <c r="BK11" s="21">
        <v>0</v>
      </c>
      <c r="BL11" s="21">
        <v>1</v>
      </c>
    </row>
    <row r="12" spans="1:64" ht="14.25" customHeight="1" x14ac:dyDescent="0.55000000000000004"/>
    <row r="13" spans="1:64" ht="14.25" customHeight="1" x14ac:dyDescent="0.55000000000000004">
      <c r="A13" s="23" t="s">
        <v>135</v>
      </c>
      <c r="B13" s="23">
        <f t="shared" ref="B13:D13" si="8">SUM(B4,B5,B8,B9)</f>
        <v>17703</v>
      </c>
      <c r="C13" s="23">
        <f t="shared" si="8"/>
        <v>8804</v>
      </c>
      <c r="D13" s="23">
        <f t="shared" si="8"/>
        <v>8899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</row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2">
    <mergeCell ref="AX2:AZ2"/>
    <mergeCell ref="BA2:BC2"/>
    <mergeCell ref="BD2:BF2"/>
    <mergeCell ref="BG2:BI2"/>
    <mergeCell ref="A1:BK1"/>
    <mergeCell ref="A2:A3"/>
    <mergeCell ref="E2:G2"/>
    <mergeCell ref="H2:J2"/>
    <mergeCell ref="K2:M2"/>
    <mergeCell ref="N2:P2"/>
    <mergeCell ref="Q2:S2"/>
    <mergeCell ref="BJ2:BL2"/>
    <mergeCell ref="AI2:AK2"/>
    <mergeCell ref="AL2:AN2"/>
    <mergeCell ref="AO2:AQ2"/>
    <mergeCell ref="AR2:AT2"/>
    <mergeCell ref="AU2:AW2"/>
    <mergeCell ref="T2:V2"/>
    <mergeCell ref="W2:Y2"/>
    <mergeCell ref="Z2:AB2"/>
    <mergeCell ref="AC2:AE2"/>
    <mergeCell ref="AF2:AH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22.26171875" customWidth="1"/>
    <col min="2" max="64" width="10" customWidth="1"/>
  </cols>
  <sheetData>
    <row r="1" spans="1:64" ht="14.25" customHeight="1" x14ac:dyDescent="0.6">
      <c r="A1" s="56" t="s">
        <v>133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6"/>
      <c r="D2" s="6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55"/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1907</v>
      </c>
      <c r="C4" s="21">
        <f t="shared" ref="C4:D4" si="0">SUM(F4,I4,L4,O4,R4,U4,X4,AA4,AD4,AG4,AJ4,AM4,AP4,AS4,AV4,AY4,BB4,BE4,BH4,BK4)</f>
        <v>928</v>
      </c>
      <c r="D4" s="21">
        <f t="shared" si="0"/>
        <v>979</v>
      </c>
      <c r="E4" s="21">
        <v>161</v>
      </c>
      <c r="F4" s="21">
        <v>83</v>
      </c>
      <c r="G4" s="21">
        <v>78</v>
      </c>
      <c r="H4" s="21">
        <v>184</v>
      </c>
      <c r="I4" s="21">
        <v>81</v>
      </c>
      <c r="J4" s="21">
        <v>103</v>
      </c>
      <c r="K4" s="21">
        <v>248</v>
      </c>
      <c r="L4" s="21">
        <v>122</v>
      </c>
      <c r="M4" s="21">
        <v>126</v>
      </c>
      <c r="N4" s="21">
        <v>203</v>
      </c>
      <c r="O4" s="21">
        <v>100</v>
      </c>
      <c r="P4" s="21">
        <v>103</v>
      </c>
      <c r="Q4" s="21">
        <v>186</v>
      </c>
      <c r="R4" s="21">
        <v>82</v>
      </c>
      <c r="S4" s="21">
        <v>104</v>
      </c>
      <c r="T4" s="21">
        <v>148</v>
      </c>
      <c r="U4" s="21">
        <v>68</v>
      </c>
      <c r="V4" s="21">
        <v>80</v>
      </c>
      <c r="W4" s="21">
        <v>115</v>
      </c>
      <c r="X4" s="21">
        <v>54</v>
      </c>
      <c r="Y4" s="21">
        <v>61</v>
      </c>
      <c r="Z4" s="21">
        <v>104</v>
      </c>
      <c r="AA4" s="21">
        <v>51</v>
      </c>
      <c r="AB4" s="21">
        <v>53</v>
      </c>
      <c r="AC4" s="21">
        <v>100</v>
      </c>
      <c r="AD4" s="21">
        <v>52</v>
      </c>
      <c r="AE4" s="21">
        <v>48</v>
      </c>
      <c r="AF4" s="21">
        <v>97</v>
      </c>
      <c r="AG4" s="21">
        <v>49</v>
      </c>
      <c r="AH4" s="21">
        <v>48</v>
      </c>
      <c r="AI4" s="21">
        <v>66</v>
      </c>
      <c r="AJ4" s="21">
        <v>32</v>
      </c>
      <c r="AK4" s="21">
        <v>34</v>
      </c>
      <c r="AL4" s="21">
        <v>66</v>
      </c>
      <c r="AM4" s="21">
        <v>32</v>
      </c>
      <c r="AN4" s="21">
        <v>34</v>
      </c>
      <c r="AO4" s="21">
        <v>83</v>
      </c>
      <c r="AP4" s="21">
        <v>44</v>
      </c>
      <c r="AQ4" s="21">
        <v>39</v>
      </c>
      <c r="AR4" s="21">
        <v>57</v>
      </c>
      <c r="AS4" s="21">
        <v>32</v>
      </c>
      <c r="AT4" s="21">
        <v>25</v>
      </c>
      <c r="AU4" s="21">
        <v>37</v>
      </c>
      <c r="AV4" s="21">
        <v>20</v>
      </c>
      <c r="AW4" s="21">
        <v>17</v>
      </c>
      <c r="AX4" s="21">
        <v>27</v>
      </c>
      <c r="AY4" s="21">
        <v>14</v>
      </c>
      <c r="AZ4" s="21">
        <v>13</v>
      </c>
      <c r="BA4" s="21">
        <v>17</v>
      </c>
      <c r="BB4" s="21">
        <v>9</v>
      </c>
      <c r="BC4" s="21">
        <v>8</v>
      </c>
      <c r="BD4" s="21">
        <v>8</v>
      </c>
      <c r="BE4" s="21">
        <v>3</v>
      </c>
      <c r="BF4" s="21">
        <v>5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</row>
    <row r="5" spans="1:64" ht="14.25" customHeight="1" x14ac:dyDescent="0.55000000000000004">
      <c r="A5" s="21">
        <v>2</v>
      </c>
      <c r="B5" s="21">
        <v>5102</v>
      </c>
      <c r="C5" s="21">
        <f t="shared" ref="C5:D5" si="1">SUM(F5,I5,L5,O5,R5,U5,X5,AA5,AD5,AG5,AJ5,AM5,AP5,AS5,AV5,AY5,BB5,BE5,BH5,BK5)</f>
        <v>2513</v>
      </c>
      <c r="D5" s="21">
        <f t="shared" si="1"/>
        <v>2589</v>
      </c>
      <c r="E5" s="21">
        <v>443</v>
      </c>
      <c r="F5" s="21">
        <v>229</v>
      </c>
      <c r="G5" s="21">
        <v>214</v>
      </c>
      <c r="H5" s="21">
        <v>559</v>
      </c>
      <c r="I5" s="21">
        <v>285</v>
      </c>
      <c r="J5" s="21">
        <v>274</v>
      </c>
      <c r="K5" s="21">
        <v>580</v>
      </c>
      <c r="L5" s="21">
        <v>279</v>
      </c>
      <c r="M5" s="21">
        <v>301</v>
      </c>
      <c r="N5" s="21">
        <v>559</v>
      </c>
      <c r="O5" s="21">
        <v>272</v>
      </c>
      <c r="P5" s="21">
        <v>287</v>
      </c>
      <c r="Q5" s="21">
        <v>459</v>
      </c>
      <c r="R5" s="21">
        <v>224</v>
      </c>
      <c r="S5" s="21">
        <v>235</v>
      </c>
      <c r="T5" s="21">
        <v>444</v>
      </c>
      <c r="U5" s="21">
        <v>204</v>
      </c>
      <c r="V5" s="21">
        <v>240</v>
      </c>
      <c r="W5" s="21">
        <v>392</v>
      </c>
      <c r="X5" s="21">
        <v>188</v>
      </c>
      <c r="Y5" s="21">
        <v>204</v>
      </c>
      <c r="Z5" s="21">
        <v>322</v>
      </c>
      <c r="AA5" s="21">
        <v>158</v>
      </c>
      <c r="AB5" s="21">
        <v>164</v>
      </c>
      <c r="AC5" s="21">
        <v>266</v>
      </c>
      <c r="AD5" s="21">
        <v>129</v>
      </c>
      <c r="AE5" s="21">
        <v>137</v>
      </c>
      <c r="AF5" s="21">
        <v>217</v>
      </c>
      <c r="AG5" s="21">
        <v>101</v>
      </c>
      <c r="AH5" s="21">
        <v>116</v>
      </c>
      <c r="AI5" s="21">
        <v>184</v>
      </c>
      <c r="AJ5" s="21">
        <v>94</v>
      </c>
      <c r="AK5" s="21">
        <v>90</v>
      </c>
      <c r="AL5" s="21">
        <v>187</v>
      </c>
      <c r="AM5" s="21">
        <v>102</v>
      </c>
      <c r="AN5" s="21">
        <v>85</v>
      </c>
      <c r="AO5" s="21">
        <v>136</v>
      </c>
      <c r="AP5" s="21">
        <v>74</v>
      </c>
      <c r="AQ5" s="21">
        <v>62</v>
      </c>
      <c r="AR5" s="21">
        <v>114</v>
      </c>
      <c r="AS5" s="21">
        <v>60</v>
      </c>
      <c r="AT5" s="21">
        <v>54</v>
      </c>
      <c r="AU5" s="21">
        <v>102</v>
      </c>
      <c r="AV5" s="21">
        <v>51</v>
      </c>
      <c r="AW5" s="21">
        <v>51</v>
      </c>
      <c r="AX5" s="21">
        <v>74</v>
      </c>
      <c r="AY5" s="21">
        <v>36</v>
      </c>
      <c r="AZ5" s="21">
        <v>38</v>
      </c>
      <c r="BA5" s="21">
        <v>41</v>
      </c>
      <c r="BB5" s="21">
        <v>17</v>
      </c>
      <c r="BC5" s="21">
        <v>24</v>
      </c>
      <c r="BD5" s="21">
        <v>15</v>
      </c>
      <c r="BE5" s="21">
        <v>6</v>
      </c>
      <c r="BF5" s="21">
        <v>9</v>
      </c>
      <c r="BG5" s="21">
        <v>7</v>
      </c>
      <c r="BH5" s="21">
        <v>4</v>
      </c>
      <c r="BI5" s="21">
        <v>3</v>
      </c>
      <c r="BJ5" s="21">
        <v>1</v>
      </c>
      <c r="BK5" s="21">
        <v>0</v>
      </c>
      <c r="BL5" s="21">
        <v>1</v>
      </c>
    </row>
    <row r="6" spans="1:64" ht="14.25" customHeight="1" x14ac:dyDescent="0.55000000000000004">
      <c r="A6" s="23">
        <v>3</v>
      </c>
      <c r="B6" s="23">
        <v>4532</v>
      </c>
      <c r="C6" s="23">
        <f t="shared" ref="C6:D6" si="2">SUM(F6,I6,L6,O6,R6,U6,X6,AA6,AD6,AG6,AJ6,AM6,AP6,AS6,AV6,AY6,BB6,BE6,BH6,BK6)</f>
        <v>2315</v>
      </c>
      <c r="D6" s="23">
        <f t="shared" si="2"/>
        <v>2217</v>
      </c>
      <c r="E6" s="23">
        <v>394</v>
      </c>
      <c r="F6" s="23">
        <v>203</v>
      </c>
      <c r="G6" s="23">
        <v>191</v>
      </c>
      <c r="H6" s="23">
        <v>357</v>
      </c>
      <c r="I6" s="23">
        <v>192</v>
      </c>
      <c r="J6" s="23">
        <v>165</v>
      </c>
      <c r="K6" s="23">
        <v>430</v>
      </c>
      <c r="L6" s="23">
        <v>239</v>
      </c>
      <c r="M6" s="23">
        <v>191</v>
      </c>
      <c r="N6" s="23">
        <v>425</v>
      </c>
      <c r="O6" s="23">
        <v>211</v>
      </c>
      <c r="P6" s="23">
        <v>214</v>
      </c>
      <c r="Q6" s="23">
        <v>396</v>
      </c>
      <c r="R6" s="23">
        <v>201</v>
      </c>
      <c r="S6" s="23">
        <v>195</v>
      </c>
      <c r="T6" s="23">
        <v>389</v>
      </c>
      <c r="U6" s="23">
        <v>193</v>
      </c>
      <c r="V6" s="23">
        <v>196</v>
      </c>
      <c r="W6" s="23">
        <v>399</v>
      </c>
      <c r="X6" s="23">
        <v>190</v>
      </c>
      <c r="Y6" s="23">
        <v>209</v>
      </c>
      <c r="Z6" s="23">
        <v>358</v>
      </c>
      <c r="AA6" s="23">
        <v>169</v>
      </c>
      <c r="AB6" s="23">
        <v>189</v>
      </c>
      <c r="AC6" s="23">
        <v>327</v>
      </c>
      <c r="AD6" s="23">
        <v>170</v>
      </c>
      <c r="AE6" s="23">
        <v>157</v>
      </c>
      <c r="AF6" s="23">
        <v>278</v>
      </c>
      <c r="AG6" s="23">
        <v>150</v>
      </c>
      <c r="AH6" s="23">
        <v>128</v>
      </c>
      <c r="AI6" s="23">
        <v>206</v>
      </c>
      <c r="AJ6" s="23">
        <v>105</v>
      </c>
      <c r="AK6" s="23">
        <v>101</v>
      </c>
      <c r="AL6" s="23">
        <v>156</v>
      </c>
      <c r="AM6" s="23">
        <v>81</v>
      </c>
      <c r="AN6" s="23">
        <v>75</v>
      </c>
      <c r="AO6" s="23">
        <v>124</v>
      </c>
      <c r="AP6" s="23">
        <v>68</v>
      </c>
      <c r="AQ6" s="23">
        <v>56</v>
      </c>
      <c r="AR6" s="23">
        <v>103</v>
      </c>
      <c r="AS6" s="23">
        <v>54</v>
      </c>
      <c r="AT6" s="23">
        <v>49</v>
      </c>
      <c r="AU6" s="23">
        <v>85</v>
      </c>
      <c r="AV6" s="23">
        <v>40</v>
      </c>
      <c r="AW6" s="23">
        <v>45</v>
      </c>
      <c r="AX6" s="23">
        <v>63</v>
      </c>
      <c r="AY6" s="23">
        <v>28</v>
      </c>
      <c r="AZ6" s="23">
        <v>35</v>
      </c>
      <c r="BA6" s="23">
        <v>30</v>
      </c>
      <c r="BB6" s="23">
        <v>15</v>
      </c>
      <c r="BC6" s="23">
        <v>15</v>
      </c>
      <c r="BD6" s="23">
        <v>10</v>
      </c>
      <c r="BE6" s="23">
        <v>5</v>
      </c>
      <c r="BF6" s="23">
        <v>5</v>
      </c>
      <c r="BG6" s="23">
        <v>2</v>
      </c>
      <c r="BH6" s="23">
        <v>1</v>
      </c>
      <c r="BI6" s="23">
        <v>1</v>
      </c>
      <c r="BJ6" s="23">
        <v>0</v>
      </c>
      <c r="BK6" s="23">
        <v>0</v>
      </c>
      <c r="BL6" s="23">
        <v>0</v>
      </c>
    </row>
    <row r="7" spans="1:64" ht="14.25" customHeight="1" x14ac:dyDescent="0.55000000000000004">
      <c r="A7" s="21">
        <v>4</v>
      </c>
      <c r="B7" s="21">
        <v>2232</v>
      </c>
      <c r="C7" s="21">
        <f t="shared" ref="C7:D7" si="3">SUM(F7,I7,L7,O7,R7,U7,X7,AA7,AD7,AG7,AJ7,AM7,AP7,AS7,AV7,AY7,BB7,BE7,BH7,BK7)</f>
        <v>1070</v>
      </c>
      <c r="D7" s="21">
        <f t="shared" si="3"/>
        <v>1162</v>
      </c>
      <c r="E7" s="21">
        <v>214</v>
      </c>
      <c r="F7" s="21">
        <v>110</v>
      </c>
      <c r="G7" s="21">
        <v>104</v>
      </c>
      <c r="H7" s="21">
        <v>173</v>
      </c>
      <c r="I7" s="21">
        <v>90</v>
      </c>
      <c r="J7" s="21">
        <v>83</v>
      </c>
      <c r="K7" s="21">
        <v>186</v>
      </c>
      <c r="L7" s="21">
        <v>92</v>
      </c>
      <c r="M7" s="21">
        <v>94</v>
      </c>
      <c r="N7" s="21">
        <v>199</v>
      </c>
      <c r="O7" s="21">
        <v>102</v>
      </c>
      <c r="P7" s="21">
        <v>97</v>
      </c>
      <c r="Q7" s="21">
        <v>216</v>
      </c>
      <c r="R7" s="21">
        <v>93</v>
      </c>
      <c r="S7" s="21">
        <v>123</v>
      </c>
      <c r="T7" s="21">
        <v>205</v>
      </c>
      <c r="U7" s="21">
        <v>91</v>
      </c>
      <c r="V7" s="21">
        <v>114</v>
      </c>
      <c r="W7" s="21">
        <v>163</v>
      </c>
      <c r="X7" s="21">
        <v>68</v>
      </c>
      <c r="Y7" s="21">
        <v>95</v>
      </c>
      <c r="Z7" s="21">
        <v>143</v>
      </c>
      <c r="AA7" s="21">
        <v>70</v>
      </c>
      <c r="AB7" s="21">
        <v>73</v>
      </c>
      <c r="AC7" s="21">
        <v>132</v>
      </c>
      <c r="AD7" s="21">
        <v>58</v>
      </c>
      <c r="AE7" s="21">
        <v>74</v>
      </c>
      <c r="AF7" s="21">
        <v>111</v>
      </c>
      <c r="AG7" s="21">
        <v>51</v>
      </c>
      <c r="AH7" s="21">
        <v>60</v>
      </c>
      <c r="AI7" s="21">
        <v>103</v>
      </c>
      <c r="AJ7" s="21">
        <v>50</v>
      </c>
      <c r="AK7" s="21">
        <v>53</v>
      </c>
      <c r="AL7" s="21">
        <v>105</v>
      </c>
      <c r="AM7" s="21">
        <v>50</v>
      </c>
      <c r="AN7" s="21">
        <v>55</v>
      </c>
      <c r="AO7" s="21">
        <v>91</v>
      </c>
      <c r="AP7" s="21">
        <v>45</v>
      </c>
      <c r="AQ7" s="21">
        <v>46</v>
      </c>
      <c r="AR7" s="21">
        <v>75</v>
      </c>
      <c r="AS7" s="21">
        <v>44</v>
      </c>
      <c r="AT7" s="21">
        <v>31</v>
      </c>
      <c r="AU7" s="21">
        <v>46</v>
      </c>
      <c r="AV7" s="21">
        <v>25</v>
      </c>
      <c r="AW7" s="21">
        <v>21</v>
      </c>
      <c r="AX7" s="21">
        <v>34</v>
      </c>
      <c r="AY7" s="21">
        <v>14</v>
      </c>
      <c r="AZ7" s="21">
        <v>20</v>
      </c>
      <c r="BA7" s="21">
        <v>23</v>
      </c>
      <c r="BB7" s="21">
        <v>9</v>
      </c>
      <c r="BC7" s="21">
        <v>14</v>
      </c>
      <c r="BD7" s="21">
        <v>10</v>
      </c>
      <c r="BE7" s="21">
        <v>5</v>
      </c>
      <c r="BF7" s="21">
        <v>5</v>
      </c>
      <c r="BG7" s="21">
        <v>3</v>
      </c>
      <c r="BH7" s="21">
        <v>3</v>
      </c>
      <c r="BI7" s="21">
        <v>0</v>
      </c>
      <c r="BJ7" s="21">
        <v>0</v>
      </c>
      <c r="BK7" s="21">
        <v>0</v>
      </c>
      <c r="BL7" s="21">
        <v>0</v>
      </c>
    </row>
    <row r="8" spans="1:64" ht="14.25" customHeight="1" x14ac:dyDescent="0.55000000000000004">
      <c r="A8" s="23">
        <v>5</v>
      </c>
      <c r="B8" s="23">
        <v>3049</v>
      </c>
      <c r="C8" s="23">
        <f t="shared" ref="C8:D8" si="4">SUM(F8,I8,L8,O8,R8,U8,X8,AA8,AD8,AG8,AJ8,AM8,AP8,AS8,AV8,AY8,BB8,BE8,BH8,BK8)</f>
        <v>1491</v>
      </c>
      <c r="D8" s="23">
        <f t="shared" si="4"/>
        <v>1558</v>
      </c>
      <c r="E8" s="23">
        <v>271</v>
      </c>
      <c r="F8" s="23">
        <v>140</v>
      </c>
      <c r="G8" s="23">
        <v>131</v>
      </c>
      <c r="H8" s="23">
        <v>215</v>
      </c>
      <c r="I8" s="23">
        <v>122</v>
      </c>
      <c r="J8" s="23">
        <v>93</v>
      </c>
      <c r="K8" s="23">
        <v>235</v>
      </c>
      <c r="L8" s="23">
        <v>124</v>
      </c>
      <c r="M8" s="23">
        <v>111</v>
      </c>
      <c r="N8" s="23">
        <v>228</v>
      </c>
      <c r="O8" s="23">
        <v>114</v>
      </c>
      <c r="P8" s="23">
        <v>114</v>
      </c>
      <c r="Q8" s="23">
        <v>238</v>
      </c>
      <c r="R8" s="23">
        <v>103</v>
      </c>
      <c r="S8" s="23">
        <v>135</v>
      </c>
      <c r="T8" s="23">
        <v>260</v>
      </c>
      <c r="U8" s="23">
        <v>117</v>
      </c>
      <c r="V8" s="23">
        <v>143</v>
      </c>
      <c r="W8" s="23">
        <v>253</v>
      </c>
      <c r="X8" s="23">
        <v>116</v>
      </c>
      <c r="Y8" s="23">
        <v>137</v>
      </c>
      <c r="Z8" s="23">
        <v>226</v>
      </c>
      <c r="AA8" s="23">
        <v>108</v>
      </c>
      <c r="AB8" s="23">
        <v>118</v>
      </c>
      <c r="AC8" s="23">
        <v>209</v>
      </c>
      <c r="AD8" s="23">
        <v>93</v>
      </c>
      <c r="AE8" s="23">
        <v>116</v>
      </c>
      <c r="AF8" s="23">
        <v>201</v>
      </c>
      <c r="AG8" s="23">
        <v>95</v>
      </c>
      <c r="AH8" s="23">
        <v>106</v>
      </c>
      <c r="AI8" s="23">
        <v>182</v>
      </c>
      <c r="AJ8" s="23">
        <v>98</v>
      </c>
      <c r="AK8" s="23">
        <v>84</v>
      </c>
      <c r="AL8" s="23">
        <v>135</v>
      </c>
      <c r="AM8" s="23">
        <v>64</v>
      </c>
      <c r="AN8" s="23">
        <v>71</v>
      </c>
      <c r="AO8" s="23">
        <v>121</v>
      </c>
      <c r="AP8" s="23">
        <v>64</v>
      </c>
      <c r="AQ8" s="23">
        <v>57</v>
      </c>
      <c r="AR8" s="23">
        <v>99</v>
      </c>
      <c r="AS8" s="23">
        <v>46</v>
      </c>
      <c r="AT8" s="23">
        <v>53</v>
      </c>
      <c r="AU8" s="23">
        <v>78</v>
      </c>
      <c r="AV8" s="23">
        <v>38</v>
      </c>
      <c r="AW8" s="23">
        <v>40</v>
      </c>
      <c r="AX8" s="23">
        <v>51</v>
      </c>
      <c r="AY8" s="23">
        <v>26</v>
      </c>
      <c r="AZ8" s="23">
        <v>25</v>
      </c>
      <c r="BA8" s="23">
        <v>33</v>
      </c>
      <c r="BB8" s="23">
        <v>19</v>
      </c>
      <c r="BC8" s="23">
        <v>14</v>
      </c>
      <c r="BD8" s="23">
        <v>9</v>
      </c>
      <c r="BE8" s="23">
        <v>4</v>
      </c>
      <c r="BF8" s="23">
        <v>5</v>
      </c>
      <c r="BG8" s="23">
        <v>5</v>
      </c>
      <c r="BH8" s="23">
        <v>0</v>
      </c>
      <c r="BI8" s="23">
        <v>5</v>
      </c>
      <c r="BJ8" s="23">
        <v>0</v>
      </c>
      <c r="BK8" s="23">
        <v>0</v>
      </c>
      <c r="BL8" s="23">
        <v>0</v>
      </c>
    </row>
    <row r="9" spans="1:64" ht="14.25" customHeight="1" x14ac:dyDescent="0.55000000000000004">
      <c r="A9" s="21">
        <v>6</v>
      </c>
      <c r="B9" s="21">
        <v>2475</v>
      </c>
      <c r="C9" s="21">
        <f t="shared" ref="C9:D9" si="5">SUM(F9,I9,L9,O9,R9,U9,X9,AA9,AD9,AG9,AJ9,AM9,AP9,AS9,AV9,AY9,BB9,BE9,BH9,BK9)</f>
        <v>1250</v>
      </c>
      <c r="D9" s="21">
        <f t="shared" si="5"/>
        <v>1225</v>
      </c>
      <c r="E9" s="21">
        <v>205</v>
      </c>
      <c r="F9" s="21">
        <v>105</v>
      </c>
      <c r="G9" s="21">
        <v>100</v>
      </c>
      <c r="H9" s="21">
        <v>291</v>
      </c>
      <c r="I9" s="21">
        <v>151</v>
      </c>
      <c r="J9" s="21">
        <v>140</v>
      </c>
      <c r="K9" s="21">
        <v>270</v>
      </c>
      <c r="L9" s="21">
        <v>142</v>
      </c>
      <c r="M9" s="21">
        <v>128</v>
      </c>
      <c r="N9" s="21">
        <v>261</v>
      </c>
      <c r="O9" s="21">
        <v>139</v>
      </c>
      <c r="P9" s="21">
        <v>122</v>
      </c>
      <c r="Q9" s="21">
        <v>232</v>
      </c>
      <c r="R9" s="21">
        <v>117</v>
      </c>
      <c r="S9" s="21">
        <v>115</v>
      </c>
      <c r="T9" s="21">
        <v>216</v>
      </c>
      <c r="U9" s="21">
        <v>104</v>
      </c>
      <c r="V9" s="21">
        <v>112</v>
      </c>
      <c r="W9" s="21">
        <v>183</v>
      </c>
      <c r="X9" s="21">
        <v>94</v>
      </c>
      <c r="Y9" s="21">
        <v>89</v>
      </c>
      <c r="Z9" s="21">
        <v>133</v>
      </c>
      <c r="AA9" s="21">
        <v>64</v>
      </c>
      <c r="AB9" s="21">
        <v>69</v>
      </c>
      <c r="AC9" s="21">
        <v>149</v>
      </c>
      <c r="AD9" s="21">
        <v>68</v>
      </c>
      <c r="AE9" s="21">
        <v>81</v>
      </c>
      <c r="AF9" s="21">
        <v>128</v>
      </c>
      <c r="AG9" s="21">
        <v>60</v>
      </c>
      <c r="AH9" s="21">
        <v>68</v>
      </c>
      <c r="AI9" s="21">
        <v>92</v>
      </c>
      <c r="AJ9" s="21">
        <v>45</v>
      </c>
      <c r="AK9" s="21">
        <v>47</v>
      </c>
      <c r="AL9" s="21">
        <v>71</v>
      </c>
      <c r="AM9" s="21">
        <v>38</v>
      </c>
      <c r="AN9" s="21">
        <v>33</v>
      </c>
      <c r="AO9" s="21">
        <v>68</v>
      </c>
      <c r="AP9" s="21">
        <v>31</v>
      </c>
      <c r="AQ9" s="21">
        <v>37</v>
      </c>
      <c r="AR9" s="21">
        <v>75</v>
      </c>
      <c r="AS9" s="21">
        <v>39</v>
      </c>
      <c r="AT9" s="21">
        <v>36</v>
      </c>
      <c r="AU9" s="21">
        <v>46</v>
      </c>
      <c r="AV9" s="21">
        <v>24</v>
      </c>
      <c r="AW9" s="21">
        <v>22</v>
      </c>
      <c r="AX9" s="21">
        <v>35</v>
      </c>
      <c r="AY9" s="21">
        <v>16</v>
      </c>
      <c r="AZ9" s="21">
        <v>19</v>
      </c>
      <c r="BA9" s="21">
        <v>18</v>
      </c>
      <c r="BB9" s="21">
        <v>11</v>
      </c>
      <c r="BC9" s="21">
        <v>7</v>
      </c>
      <c r="BD9" s="21">
        <v>2</v>
      </c>
      <c r="BE9" s="21">
        <v>2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</row>
    <row r="10" spans="1:64" ht="14.25" customHeight="1" x14ac:dyDescent="0.55000000000000004">
      <c r="A10" s="23">
        <v>7</v>
      </c>
      <c r="B10" s="23">
        <v>2886</v>
      </c>
      <c r="C10" s="23">
        <f t="shared" ref="C10:D10" si="6">SUM(F10,I10,L10,O10,R10,U10,X10,AA10,AD10,AG10,AJ10,AM10,AP10,AS10,AV10,AY10,BB10,BE10,BH10,BK10)</f>
        <v>1424</v>
      </c>
      <c r="D10" s="23">
        <f t="shared" si="6"/>
        <v>1462</v>
      </c>
      <c r="E10" s="23">
        <v>261</v>
      </c>
      <c r="F10" s="23">
        <v>134</v>
      </c>
      <c r="G10" s="23">
        <v>127</v>
      </c>
      <c r="H10" s="23">
        <v>236</v>
      </c>
      <c r="I10" s="23">
        <v>124</v>
      </c>
      <c r="J10" s="23">
        <v>112</v>
      </c>
      <c r="K10" s="23">
        <v>248</v>
      </c>
      <c r="L10" s="23">
        <v>132</v>
      </c>
      <c r="M10" s="23">
        <v>116</v>
      </c>
      <c r="N10" s="23">
        <v>240</v>
      </c>
      <c r="O10" s="23">
        <v>123</v>
      </c>
      <c r="P10" s="23">
        <v>117</v>
      </c>
      <c r="Q10" s="23">
        <v>268</v>
      </c>
      <c r="R10" s="23">
        <v>131</v>
      </c>
      <c r="S10" s="23">
        <v>137</v>
      </c>
      <c r="T10" s="23">
        <v>236</v>
      </c>
      <c r="U10" s="23">
        <v>97</v>
      </c>
      <c r="V10" s="23">
        <v>139</v>
      </c>
      <c r="W10" s="23">
        <v>239</v>
      </c>
      <c r="X10" s="23">
        <v>118</v>
      </c>
      <c r="Y10" s="23">
        <v>121</v>
      </c>
      <c r="Z10" s="23">
        <v>206</v>
      </c>
      <c r="AA10" s="23">
        <v>95</v>
      </c>
      <c r="AB10" s="23">
        <v>111</v>
      </c>
      <c r="AC10" s="23">
        <v>195</v>
      </c>
      <c r="AD10" s="23">
        <v>81</v>
      </c>
      <c r="AE10" s="23">
        <v>114</v>
      </c>
      <c r="AF10" s="23">
        <v>170</v>
      </c>
      <c r="AG10" s="23">
        <v>87</v>
      </c>
      <c r="AH10" s="23">
        <v>83</v>
      </c>
      <c r="AI10" s="23">
        <v>164</v>
      </c>
      <c r="AJ10" s="23">
        <v>80</v>
      </c>
      <c r="AK10" s="23">
        <v>84</v>
      </c>
      <c r="AL10" s="23">
        <v>133</v>
      </c>
      <c r="AM10" s="23">
        <v>68</v>
      </c>
      <c r="AN10" s="23">
        <v>65</v>
      </c>
      <c r="AO10" s="23">
        <v>97</v>
      </c>
      <c r="AP10" s="23">
        <v>55</v>
      </c>
      <c r="AQ10" s="23">
        <v>42</v>
      </c>
      <c r="AR10" s="23">
        <v>74</v>
      </c>
      <c r="AS10" s="23">
        <v>37</v>
      </c>
      <c r="AT10" s="23">
        <v>37</v>
      </c>
      <c r="AU10" s="23">
        <v>49</v>
      </c>
      <c r="AV10" s="23">
        <v>26</v>
      </c>
      <c r="AW10" s="23">
        <v>23</v>
      </c>
      <c r="AX10" s="23">
        <v>40</v>
      </c>
      <c r="AY10" s="23">
        <v>21</v>
      </c>
      <c r="AZ10" s="23">
        <v>19</v>
      </c>
      <c r="BA10" s="23">
        <v>21</v>
      </c>
      <c r="BB10" s="23">
        <v>12</v>
      </c>
      <c r="BC10" s="23">
        <v>9</v>
      </c>
      <c r="BD10" s="23">
        <v>8</v>
      </c>
      <c r="BE10" s="23">
        <v>3</v>
      </c>
      <c r="BF10" s="23">
        <v>5</v>
      </c>
      <c r="BG10" s="23">
        <v>1</v>
      </c>
      <c r="BH10" s="23">
        <v>0</v>
      </c>
      <c r="BI10" s="23">
        <v>1</v>
      </c>
      <c r="BJ10" s="23">
        <v>0</v>
      </c>
      <c r="BK10" s="23">
        <v>0</v>
      </c>
      <c r="BL10" s="23">
        <v>0</v>
      </c>
    </row>
    <row r="11" spans="1:64" ht="14.25" customHeight="1" x14ac:dyDescent="0.55000000000000004">
      <c r="A11" s="21">
        <v>8</v>
      </c>
      <c r="B11" s="21">
        <v>2322</v>
      </c>
      <c r="C11" s="21">
        <f t="shared" ref="C11:D11" si="7">SUM(F11,I11,L11,O11,R11,U11,X11,AA11,AD11,AG11,AJ11,AM11,AP11,AS11,AV11,AY11,BB11,BE11,BH11,BK11)</f>
        <v>1160</v>
      </c>
      <c r="D11" s="21">
        <f t="shared" si="7"/>
        <v>1162</v>
      </c>
      <c r="E11" s="21">
        <v>195</v>
      </c>
      <c r="F11" s="21">
        <v>101</v>
      </c>
      <c r="G11" s="21">
        <v>94</v>
      </c>
      <c r="H11" s="21">
        <v>202</v>
      </c>
      <c r="I11" s="21">
        <v>107</v>
      </c>
      <c r="J11" s="21">
        <v>95</v>
      </c>
      <c r="K11" s="21">
        <v>226</v>
      </c>
      <c r="L11" s="21">
        <v>111</v>
      </c>
      <c r="M11" s="21">
        <v>115</v>
      </c>
      <c r="N11" s="21">
        <v>274</v>
      </c>
      <c r="O11" s="21">
        <v>137</v>
      </c>
      <c r="P11" s="21">
        <v>137</v>
      </c>
      <c r="Q11" s="21">
        <v>243</v>
      </c>
      <c r="R11" s="21">
        <v>120</v>
      </c>
      <c r="S11" s="21">
        <v>123</v>
      </c>
      <c r="T11" s="21">
        <v>185</v>
      </c>
      <c r="U11" s="21">
        <v>87</v>
      </c>
      <c r="V11" s="21">
        <v>98</v>
      </c>
      <c r="W11" s="21">
        <v>134</v>
      </c>
      <c r="X11" s="21">
        <v>64</v>
      </c>
      <c r="Y11" s="21">
        <v>70</v>
      </c>
      <c r="Z11" s="21">
        <v>137</v>
      </c>
      <c r="AA11" s="21">
        <v>65</v>
      </c>
      <c r="AB11" s="21">
        <v>72</v>
      </c>
      <c r="AC11" s="21">
        <v>168</v>
      </c>
      <c r="AD11" s="21">
        <v>73</v>
      </c>
      <c r="AE11" s="21">
        <v>95</v>
      </c>
      <c r="AF11" s="21">
        <v>112</v>
      </c>
      <c r="AG11" s="21">
        <v>61</v>
      </c>
      <c r="AH11" s="21">
        <v>51</v>
      </c>
      <c r="AI11" s="21">
        <v>93</v>
      </c>
      <c r="AJ11" s="21">
        <v>47</v>
      </c>
      <c r="AK11" s="21">
        <v>46</v>
      </c>
      <c r="AL11" s="21">
        <v>91</v>
      </c>
      <c r="AM11" s="21">
        <v>50</v>
      </c>
      <c r="AN11" s="21">
        <v>41</v>
      </c>
      <c r="AO11" s="21">
        <v>75</v>
      </c>
      <c r="AP11" s="21">
        <v>40</v>
      </c>
      <c r="AQ11" s="21">
        <v>35</v>
      </c>
      <c r="AR11" s="21">
        <v>52</v>
      </c>
      <c r="AS11" s="21">
        <v>29</v>
      </c>
      <c r="AT11" s="21">
        <v>23</v>
      </c>
      <c r="AU11" s="21">
        <v>54</v>
      </c>
      <c r="AV11" s="21">
        <v>28</v>
      </c>
      <c r="AW11" s="21">
        <v>26</v>
      </c>
      <c r="AX11" s="21">
        <v>50</v>
      </c>
      <c r="AY11" s="21">
        <v>26</v>
      </c>
      <c r="AZ11" s="21">
        <v>24</v>
      </c>
      <c r="BA11" s="21">
        <v>22</v>
      </c>
      <c r="BB11" s="21">
        <v>11</v>
      </c>
      <c r="BC11" s="21">
        <v>11</v>
      </c>
      <c r="BD11" s="21">
        <v>6</v>
      </c>
      <c r="BE11" s="21">
        <v>1</v>
      </c>
      <c r="BF11" s="21">
        <v>5</v>
      </c>
      <c r="BG11" s="21">
        <v>3</v>
      </c>
      <c r="BH11" s="21">
        <v>2</v>
      </c>
      <c r="BI11" s="21">
        <v>1</v>
      </c>
      <c r="BJ11" s="21">
        <v>0</v>
      </c>
      <c r="BK11" s="21">
        <v>0</v>
      </c>
      <c r="BL11" s="21">
        <v>0</v>
      </c>
    </row>
    <row r="12" spans="1:64" ht="14.25" customHeight="1" x14ac:dyDescent="0.55000000000000004">
      <c r="A12" s="23">
        <v>9</v>
      </c>
      <c r="B12" s="23">
        <v>3438</v>
      </c>
      <c r="C12" s="23">
        <f t="shared" ref="C12:D12" si="8">SUM(F12,I12,L12,O12,R12,U12,X12,AA12,AD12,AG12,AJ12,AM12,AP12,AS12,AV12,AY12,BB12,BE12,BH12,BK12)</f>
        <v>1674</v>
      </c>
      <c r="D12" s="23">
        <f t="shared" si="8"/>
        <v>1764</v>
      </c>
      <c r="E12" s="23">
        <v>299</v>
      </c>
      <c r="F12" s="23">
        <v>154</v>
      </c>
      <c r="G12" s="23">
        <v>145</v>
      </c>
      <c r="H12" s="23">
        <v>339</v>
      </c>
      <c r="I12" s="23">
        <v>163</v>
      </c>
      <c r="J12" s="23">
        <v>176</v>
      </c>
      <c r="K12" s="23">
        <v>357</v>
      </c>
      <c r="L12" s="23">
        <v>174</v>
      </c>
      <c r="M12" s="23">
        <v>183</v>
      </c>
      <c r="N12" s="23">
        <v>331</v>
      </c>
      <c r="O12" s="23">
        <v>165</v>
      </c>
      <c r="P12" s="23">
        <v>166</v>
      </c>
      <c r="Q12" s="23">
        <v>293</v>
      </c>
      <c r="R12" s="23">
        <v>137</v>
      </c>
      <c r="S12" s="23">
        <v>156</v>
      </c>
      <c r="T12" s="23">
        <v>278</v>
      </c>
      <c r="U12" s="23">
        <v>128</v>
      </c>
      <c r="V12" s="23">
        <v>150</v>
      </c>
      <c r="W12" s="23">
        <v>287</v>
      </c>
      <c r="X12" s="23">
        <v>131</v>
      </c>
      <c r="Y12" s="23">
        <v>156</v>
      </c>
      <c r="Z12" s="23">
        <v>241</v>
      </c>
      <c r="AA12" s="23">
        <v>116</v>
      </c>
      <c r="AB12" s="23">
        <v>125</v>
      </c>
      <c r="AC12" s="23">
        <v>189</v>
      </c>
      <c r="AD12" s="23">
        <v>89</v>
      </c>
      <c r="AE12" s="23">
        <v>100</v>
      </c>
      <c r="AF12" s="23">
        <v>163</v>
      </c>
      <c r="AG12" s="23">
        <v>83</v>
      </c>
      <c r="AH12" s="23">
        <v>80</v>
      </c>
      <c r="AI12" s="23">
        <v>149</v>
      </c>
      <c r="AJ12" s="23">
        <v>73</v>
      </c>
      <c r="AK12" s="23">
        <v>76</v>
      </c>
      <c r="AL12" s="23">
        <v>139</v>
      </c>
      <c r="AM12" s="23">
        <v>73</v>
      </c>
      <c r="AN12" s="23">
        <v>66</v>
      </c>
      <c r="AO12" s="23">
        <v>116</v>
      </c>
      <c r="AP12" s="23">
        <v>62</v>
      </c>
      <c r="AQ12" s="23">
        <v>54</v>
      </c>
      <c r="AR12" s="23">
        <v>88</v>
      </c>
      <c r="AS12" s="23">
        <v>48</v>
      </c>
      <c r="AT12" s="23">
        <v>40</v>
      </c>
      <c r="AU12" s="23">
        <v>69</v>
      </c>
      <c r="AV12" s="23">
        <v>36</v>
      </c>
      <c r="AW12" s="23">
        <v>33</v>
      </c>
      <c r="AX12" s="23">
        <v>58</v>
      </c>
      <c r="AY12" s="23">
        <v>24</v>
      </c>
      <c r="AZ12" s="23">
        <v>34</v>
      </c>
      <c r="BA12" s="23">
        <v>27</v>
      </c>
      <c r="BB12" s="23">
        <v>11</v>
      </c>
      <c r="BC12" s="23">
        <v>16</v>
      </c>
      <c r="BD12" s="23">
        <v>12</v>
      </c>
      <c r="BE12" s="23">
        <v>5</v>
      </c>
      <c r="BF12" s="23">
        <v>7</v>
      </c>
      <c r="BG12" s="23">
        <v>3</v>
      </c>
      <c r="BH12" s="23">
        <v>2</v>
      </c>
      <c r="BI12" s="23">
        <v>1</v>
      </c>
      <c r="BJ12" s="23">
        <v>0</v>
      </c>
      <c r="BK12" s="23">
        <v>0</v>
      </c>
      <c r="BL12" s="23">
        <v>0</v>
      </c>
    </row>
    <row r="13" spans="1:64" ht="14.25" customHeight="1" x14ac:dyDescent="0.55000000000000004">
      <c r="A13" s="23">
        <v>10</v>
      </c>
      <c r="B13" s="23">
        <v>4652</v>
      </c>
      <c r="C13" s="23">
        <f t="shared" ref="C13:D13" si="9">SUM(F13,I13,L13,O13,R13,U13,X13,AA13,AD13,AG13,AJ13,AM13,AP13,AS13,AV13,AY13,BB13,BE13,BH13,BK13)</f>
        <v>2285</v>
      </c>
      <c r="D13" s="23">
        <f t="shared" si="9"/>
        <v>2367</v>
      </c>
      <c r="E13" s="23">
        <v>422</v>
      </c>
      <c r="F13" s="23">
        <v>218</v>
      </c>
      <c r="G13" s="23">
        <v>204</v>
      </c>
      <c r="H13" s="23">
        <v>438</v>
      </c>
      <c r="I13" s="23">
        <v>215</v>
      </c>
      <c r="J13" s="23">
        <v>223</v>
      </c>
      <c r="K13" s="23">
        <v>432</v>
      </c>
      <c r="L13" s="23">
        <v>209</v>
      </c>
      <c r="M13" s="23">
        <v>223</v>
      </c>
      <c r="N13" s="23">
        <v>437</v>
      </c>
      <c r="O13" s="23">
        <v>217</v>
      </c>
      <c r="P13" s="23">
        <v>220</v>
      </c>
      <c r="Q13" s="23">
        <v>454</v>
      </c>
      <c r="R13" s="23">
        <v>211</v>
      </c>
      <c r="S13" s="23">
        <v>243</v>
      </c>
      <c r="T13" s="23">
        <v>432</v>
      </c>
      <c r="U13" s="23">
        <v>204</v>
      </c>
      <c r="V13" s="23">
        <v>228</v>
      </c>
      <c r="W13" s="23">
        <v>369</v>
      </c>
      <c r="X13" s="23">
        <v>184</v>
      </c>
      <c r="Y13" s="23">
        <v>185</v>
      </c>
      <c r="Z13" s="23">
        <v>291</v>
      </c>
      <c r="AA13" s="23">
        <v>145</v>
      </c>
      <c r="AB13" s="23">
        <v>146</v>
      </c>
      <c r="AC13" s="23">
        <v>235</v>
      </c>
      <c r="AD13" s="23">
        <v>112</v>
      </c>
      <c r="AE13" s="23">
        <v>123</v>
      </c>
      <c r="AF13" s="23">
        <v>228</v>
      </c>
      <c r="AG13" s="23">
        <v>108</v>
      </c>
      <c r="AH13" s="23">
        <v>120</v>
      </c>
      <c r="AI13" s="23">
        <v>177</v>
      </c>
      <c r="AJ13" s="23">
        <v>83</v>
      </c>
      <c r="AK13" s="23">
        <v>94</v>
      </c>
      <c r="AL13" s="23">
        <v>200</v>
      </c>
      <c r="AM13" s="23">
        <v>101</v>
      </c>
      <c r="AN13" s="23">
        <v>99</v>
      </c>
      <c r="AO13" s="23">
        <v>159</v>
      </c>
      <c r="AP13" s="23">
        <v>87</v>
      </c>
      <c r="AQ13" s="23">
        <v>72</v>
      </c>
      <c r="AR13" s="23">
        <v>120</v>
      </c>
      <c r="AS13" s="23">
        <v>62</v>
      </c>
      <c r="AT13" s="23">
        <v>58</v>
      </c>
      <c r="AU13" s="23">
        <v>111</v>
      </c>
      <c r="AV13" s="23">
        <v>54</v>
      </c>
      <c r="AW13" s="23">
        <v>57</v>
      </c>
      <c r="AX13" s="23">
        <v>81</v>
      </c>
      <c r="AY13" s="23">
        <v>42</v>
      </c>
      <c r="AZ13" s="23">
        <v>39</v>
      </c>
      <c r="BA13" s="23">
        <v>42</v>
      </c>
      <c r="BB13" s="23">
        <v>22</v>
      </c>
      <c r="BC13" s="23">
        <v>20</v>
      </c>
      <c r="BD13" s="23">
        <v>15</v>
      </c>
      <c r="BE13" s="23">
        <v>7</v>
      </c>
      <c r="BF13" s="23">
        <v>8</v>
      </c>
      <c r="BG13" s="23">
        <v>9</v>
      </c>
      <c r="BH13" s="23">
        <v>4</v>
      </c>
      <c r="BI13" s="23">
        <v>5</v>
      </c>
      <c r="BJ13" s="23">
        <v>0</v>
      </c>
      <c r="BK13" s="23">
        <v>0</v>
      </c>
      <c r="BL13" s="23">
        <v>0</v>
      </c>
    </row>
    <row r="14" spans="1:64" ht="14.25" customHeight="1" x14ac:dyDescent="0.55000000000000004"/>
    <row r="15" spans="1:64" ht="14.25" customHeight="1" x14ac:dyDescent="0.55000000000000004">
      <c r="A15" s="23" t="s">
        <v>137</v>
      </c>
      <c r="B15" s="23">
        <f t="shared" ref="B15:D15" si="10">SUM(B6,B8,B10,B12,B13)</f>
        <v>18557</v>
      </c>
      <c r="C15" s="23">
        <f t="shared" si="10"/>
        <v>9189</v>
      </c>
      <c r="D15" s="23">
        <f t="shared" si="10"/>
        <v>9368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</row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B3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7.578125" customWidth="1"/>
    <col min="2" max="64" width="10" customWidth="1"/>
  </cols>
  <sheetData>
    <row r="1" spans="1:64" ht="14.25" customHeight="1" x14ac:dyDescent="0.6">
      <c r="A1" s="56" t="s">
        <v>134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125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3294</v>
      </c>
      <c r="C4" s="21">
        <f t="shared" ref="C4:D4" si="0">SUM(F4,I4,L4,O4,R4,U4,X4,AA4,AD4,AG4,AJ4,AM4,AP4,AS4,AV4,AY4,BB4,BE4,BH4,BK4)</f>
        <v>1526</v>
      </c>
      <c r="D4" s="21">
        <f t="shared" si="0"/>
        <v>1768</v>
      </c>
      <c r="E4" s="21">
        <v>218</v>
      </c>
      <c r="F4" s="21">
        <v>113</v>
      </c>
      <c r="G4" s="21">
        <v>105</v>
      </c>
      <c r="H4" s="21">
        <v>220</v>
      </c>
      <c r="I4" s="21">
        <v>120</v>
      </c>
      <c r="J4" s="21">
        <v>100</v>
      </c>
      <c r="K4" s="21">
        <v>263</v>
      </c>
      <c r="L4" s="21">
        <v>148</v>
      </c>
      <c r="M4" s="21">
        <v>115</v>
      </c>
      <c r="N4" s="21">
        <v>318</v>
      </c>
      <c r="O4" s="21">
        <v>158</v>
      </c>
      <c r="P4" s="21">
        <v>160</v>
      </c>
      <c r="Q4" s="21">
        <v>289</v>
      </c>
      <c r="R4" s="21">
        <v>130</v>
      </c>
      <c r="S4" s="21">
        <v>159</v>
      </c>
      <c r="T4" s="21">
        <v>217</v>
      </c>
      <c r="U4" s="21">
        <v>90</v>
      </c>
      <c r="V4" s="21">
        <v>127</v>
      </c>
      <c r="W4" s="21">
        <v>207</v>
      </c>
      <c r="X4" s="21">
        <v>75</v>
      </c>
      <c r="Y4" s="21">
        <v>132</v>
      </c>
      <c r="Z4" s="21">
        <v>201</v>
      </c>
      <c r="AA4" s="21">
        <v>73</v>
      </c>
      <c r="AB4" s="21">
        <v>128</v>
      </c>
      <c r="AC4" s="21">
        <v>221</v>
      </c>
      <c r="AD4" s="21">
        <v>102</v>
      </c>
      <c r="AE4" s="21">
        <v>119</v>
      </c>
      <c r="AF4" s="21">
        <v>210</v>
      </c>
      <c r="AG4" s="21">
        <v>91</v>
      </c>
      <c r="AH4" s="21">
        <v>119</v>
      </c>
      <c r="AI4" s="21">
        <v>189</v>
      </c>
      <c r="AJ4" s="21">
        <v>79</v>
      </c>
      <c r="AK4" s="21">
        <v>110</v>
      </c>
      <c r="AL4" s="21">
        <v>184</v>
      </c>
      <c r="AM4" s="21">
        <v>89</v>
      </c>
      <c r="AN4" s="21">
        <v>95</v>
      </c>
      <c r="AO4" s="21">
        <v>154</v>
      </c>
      <c r="AP4" s="21">
        <v>69</v>
      </c>
      <c r="AQ4" s="21">
        <v>85</v>
      </c>
      <c r="AR4" s="21">
        <v>149</v>
      </c>
      <c r="AS4" s="21">
        <v>68</v>
      </c>
      <c r="AT4" s="21">
        <v>81</v>
      </c>
      <c r="AU4" s="21">
        <v>105</v>
      </c>
      <c r="AV4" s="21">
        <v>51</v>
      </c>
      <c r="AW4" s="21">
        <v>54</v>
      </c>
      <c r="AX4" s="21">
        <v>75</v>
      </c>
      <c r="AY4" s="21">
        <v>37</v>
      </c>
      <c r="AZ4" s="21">
        <v>38</v>
      </c>
      <c r="BA4" s="21">
        <v>46</v>
      </c>
      <c r="BB4" s="21">
        <v>23</v>
      </c>
      <c r="BC4" s="21">
        <v>23</v>
      </c>
      <c r="BD4" s="21">
        <v>17</v>
      </c>
      <c r="BE4" s="21">
        <v>7</v>
      </c>
      <c r="BF4" s="21">
        <v>10</v>
      </c>
      <c r="BG4" s="21">
        <v>10</v>
      </c>
      <c r="BH4" s="21">
        <v>3</v>
      </c>
      <c r="BI4" s="21">
        <v>7</v>
      </c>
      <c r="BJ4" s="21">
        <v>1</v>
      </c>
      <c r="BK4" s="21">
        <v>0</v>
      </c>
      <c r="BL4" s="21">
        <v>1</v>
      </c>
    </row>
    <row r="5" spans="1:64" ht="14.25" customHeight="1" x14ac:dyDescent="0.55000000000000004">
      <c r="A5" s="21">
        <v>2</v>
      </c>
      <c r="B5" s="21">
        <v>3231</v>
      </c>
      <c r="C5" s="21">
        <f t="shared" ref="C5:D5" si="1">SUM(F5,I5,L5,O5,R5,U5,X5,AA5,AD5,AG5,AJ5,AM5,AP5,AS5,AV5,AY5,BB5,BE5,BH5,BK5)</f>
        <v>1457</v>
      </c>
      <c r="D5" s="21">
        <f t="shared" si="1"/>
        <v>1774</v>
      </c>
      <c r="E5" s="21">
        <v>195</v>
      </c>
      <c r="F5" s="21">
        <v>100</v>
      </c>
      <c r="G5" s="21">
        <v>95</v>
      </c>
      <c r="H5" s="21">
        <v>197</v>
      </c>
      <c r="I5" s="21">
        <v>103</v>
      </c>
      <c r="J5" s="21">
        <v>94</v>
      </c>
      <c r="K5" s="21">
        <v>256</v>
      </c>
      <c r="L5" s="21">
        <v>129</v>
      </c>
      <c r="M5" s="21">
        <v>127</v>
      </c>
      <c r="N5" s="21">
        <v>320</v>
      </c>
      <c r="O5" s="21">
        <v>158</v>
      </c>
      <c r="P5" s="21">
        <v>162</v>
      </c>
      <c r="Q5" s="21">
        <v>241</v>
      </c>
      <c r="R5" s="21">
        <v>101</v>
      </c>
      <c r="S5" s="21">
        <v>140</v>
      </c>
      <c r="T5" s="21">
        <v>165</v>
      </c>
      <c r="U5" s="21">
        <v>55</v>
      </c>
      <c r="V5" s="21">
        <v>110</v>
      </c>
      <c r="W5" s="21">
        <v>190</v>
      </c>
      <c r="X5" s="21">
        <v>72</v>
      </c>
      <c r="Y5" s="21">
        <v>118</v>
      </c>
      <c r="Z5" s="21">
        <v>179</v>
      </c>
      <c r="AA5" s="21">
        <v>63</v>
      </c>
      <c r="AB5" s="21">
        <v>116</v>
      </c>
      <c r="AC5" s="21">
        <v>212</v>
      </c>
      <c r="AD5" s="21">
        <v>78</v>
      </c>
      <c r="AE5" s="21">
        <v>134</v>
      </c>
      <c r="AF5" s="21">
        <v>189</v>
      </c>
      <c r="AG5" s="21">
        <v>89</v>
      </c>
      <c r="AH5" s="21">
        <v>100</v>
      </c>
      <c r="AI5" s="21">
        <v>183</v>
      </c>
      <c r="AJ5" s="21">
        <v>84</v>
      </c>
      <c r="AK5" s="21">
        <v>99</v>
      </c>
      <c r="AL5" s="21">
        <v>213</v>
      </c>
      <c r="AM5" s="21">
        <v>105</v>
      </c>
      <c r="AN5" s="21">
        <v>108</v>
      </c>
      <c r="AO5" s="21">
        <v>199</v>
      </c>
      <c r="AP5" s="21">
        <v>93</v>
      </c>
      <c r="AQ5" s="21">
        <v>106</v>
      </c>
      <c r="AR5" s="21">
        <v>192</v>
      </c>
      <c r="AS5" s="21">
        <v>89</v>
      </c>
      <c r="AT5" s="21">
        <v>103</v>
      </c>
      <c r="AU5" s="21">
        <v>130</v>
      </c>
      <c r="AV5" s="21">
        <v>61</v>
      </c>
      <c r="AW5" s="21">
        <v>69</v>
      </c>
      <c r="AX5" s="21">
        <v>81</v>
      </c>
      <c r="AY5" s="21">
        <v>36</v>
      </c>
      <c r="AZ5" s="21">
        <v>45</v>
      </c>
      <c r="BA5" s="21">
        <v>55</v>
      </c>
      <c r="BB5" s="21">
        <v>26</v>
      </c>
      <c r="BC5" s="21">
        <v>29</v>
      </c>
      <c r="BD5" s="21">
        <v>23</v>
      </c>
      <c r="BE5" s="21">
        <v>12</v>
      </c>
      <c r="BF5" s="21">
        <v>11</v>
      </c>
      <c r="BG5" s="21">
        <v>8</v>
      </c>
      <c r="BH5" s="21">
        <v>3</v>
      </c>
      <c r="BI5" s="21">
        <v>5</v>
      </c>
      <c r="BJ5" s="21">
        <v>3</v>
      </c>
      <c r="BK5" s="21">
        <v>0</v>
      </c>
      <c r="BL5" s="21">
        <v>3</v>
      </c>
    </row>
    <row r="6" spans="1:64" ht="14.25" customHeight="1" x14ac:dyDescent="0.55000000000000004">
      <c r="A6" s="23">
        <v>3</v>
      </c>
      <c r="B6" s="23">
        <v>2337</v>
      </c>
      <c r="C6" s="21">
        <f t="shared" ref="C6:D6" si="2">SUM(F6,I6,L6,O6,R6,U6,X6,AA6,AD6,AG6,AJ6,AM6,AP6,AS6,AV6,AY6,BB6,BE6,BH6,BK6)</f>
        <v>1096</v>
      </c>
      <c r="D6" s="21">
        <f t="shared" si="2"/>
        <v>1241</v>
      </c>
      <c r="E6" s="23">
        <v>152</v>
      </c>
      <c r="F6" s="23">
        <v>79</v>
      </c>
      <c r="G6" s="23">
        <v>73</v>
      </c>
      <c r="H6" s="23">
        <v>175</v>
      </c>
      <c r="I6" s="23">
        <v>90</v>
      </c>
      <c r="J6" s="23">
        <v>85</v>
      </c>
      <c r="K6" s="23">
        <v>186</v>
      </c>
      <c r="L6" s="23">
        <v>89</v>
      </c>
      <c r="M6" s="23">
        <v>97</v>
      </c>
      <c r="N6" s="23">
        <v>196</v>
      </c>
      <c r="O6" s="23">
        <v>89</v>
      </c>
      <c r="P6" s="23">
        <v>107</v>
      </c>
      <c r="Q6" s="23">
        <v>177</v>
      </c>
      <c r="R6" s="23">
        <v>79</v>
      </c>
      <c r="S6" s="23">
        <v>98</v>
      </c>
      <c r="T6" s="23">
        <v>170</v>
      </c>
      <c r="U6" s="23">
        <v>70</v>
      </c>
      <c r="V6" s="23">
        <v>100</v>
      </c>
      <c r="W6" s="23">
        <v>155</v>
      </c>
      <c r="X6" s="23">
        <v>69</v>
      </c>
      <c r="Y6" s="23">
        <v>86</v>
      </c>
      <c r="Z6" s="23">
        <v>155</v>
      </c>
      <c r="AA6" s="23">
        <v>69</v>
      </c>
      <c r="AB6" s="23">
        <v>86</v>
      </c>
      <c r="AC6" s="23">
        <v>145</v>
      </c>
      <c r="AD6" s="23">
        <v>66</v>
      </c>
      <c r="AE6" s="23">
        <v>79</v>
      </c>
      <c r="AF6" s="23">
        <v>144</v>
      </c>
      <c r="AG6" s="23">
        <v>71</v>
      </c>
      <c r="AH6" s="23">
        <v>73</v>
      </c>
      <c r="AI6" s="23">
        <v>125</v>
      </c>
      <c r="AJ6" s="23">
        <v>58</v>
      </c>
      <c r="AK6" s="23">
        <v>67</v>
      </c>
      <c r="AL6" s="23">
        <v>131</v>
      </c>
      <c r="AM6" s="23">
        <v>60</v>
      </c>
      <c r="AN6" s="23">
        <v>71</v>
      </c>
      <c r="AO6" s="23">
        <v>130</v>
      </c>
      <c r="AP6" s="23">
        <v>58</v>
      </c>
      <c r="AQ6" s="23">
        <v>72</v>
      </c>
      <c r="AR6" s="23">
        <v>94</v>
      </c>
      <c r="AS6" s="23">
        <v>52</v>
      </c>
      <c r="AT6" s="23">
        <v>42</v>
      </c>
      <c r="AU6" s="23">
        <v>81</v>
      </c>
      <c r="AV6" s="23">
        <v>42</v>
      </c>
      <c r="AW6" s="23">
        <v>39</v>
      </c>
      <c r="AX6" s="23">
        <v>58</v>
      </c>
      <c r="AY6" s="23">
        <v>28</v>
      </c>
      <c r="AZ6" s="23">
        <v>30</v>
      </c>
      <c r="BA6" s="23">
        <v>38</v>
      </c>
      <c r="BB6" s="23">
        <v>18</v>
      </c>
      <c r="BC6" s="23">
        <v>20</v>
      </c>
      <c r="BD6" s="23">
        <v>15</v>
      </c>
      <c r="BE6" s="23">
        <v>5</v>
      </c>
      <c r="BF6" s="23">
        <v>10</v>
      </c>
      <c r="BG6" s="23">
        <v>9</v>
      </c>
      <c r="BH6" s="23">
        <v>4</v>
      </c>
      <c r="BI6" s="23">
        <v>5</v>
      </c>
      <c r="BJ6" s="23">
        <v>1</v>
      </c>
      <c r="BK6" s="23">
        <v>0</v>
      </c>
      <c r="BL6" s="23">
        <v>1</v>
      </c>
    </row>
    <row r="7" spans="1:64" ht="14.25" customHeight="1" x14ac:dyDescent="0.55000000000000004">
      <c r="A7" s="23">
        <v>4</v>
      </c>
      <c r="B7" s="23">
        <v>2401</v>
      </c>
      <c r="C7" s="21">
        <f t="shared" ref="C7:D7" si="3">SUM(F7,I7,L7,O7,R7,U7,X7,AA7,AD7,AG7,AJ7,AM7,AP7,AS7,AV7,AY7,BB7,BE7,BH7,BK7)</f>
        <v>1099</v>
      </c>
      <c r="D7" s="21">
        <f t="shared" si="3"/>
        <v>1302</v>
      </c>
      <c r="E7" s="23">
        <v>156</v>
      </c>
      <c r="F7" s="23">
        <v>80</v>
      </c>
      <c r="G7" s="23">
        <v>76</v>
      </c>
      <c r="H7" s="23">
        <v>167</v>
      </c>
      <c r="I7" s="23">
        <v>82</v>
      </c>
      <c r="J7" s="23">
        <v>85</v>
      </c>
      <c r="K7" s="23">
        <v>192</v>
      </c>
      <c r="L7" s="23">
        <v>98</v>
      </c>
      <c r="M7" s="23">
        <v>94</v>
      </c>
      <c r="N7" s="23">
        <v>203</v>
      </c>
      <c r="O7" s="23">
        <v>94</v>
      </c>
      <c r="P7" s="23">
        <v>109</v>
      </c>
      <c r="Q7" s="23">
        <v>171</v>
      </c>
      <c r="R7" s="23">
        <v>65</v>
      </c>
      <c r="S7" s="23">
        <v>106</v>
      </c>
      <c r="T7" s="23">
        <v>155</v>
      </c>
      <c r="U7" s="23">
        <v>57</v>
      </c>
      <c r="V7" s="23">
        <v>98</v>
      </c>
      <c r="W7" s="23">
        <v>166</v>
      </c>
      <c r="X7" s="23">
        <v>70</v>
      </c>
      <c r="Y7" s="23">
        <v>96</v>
      </c>
      <c r="Z7" s="23">
        <v>162</v>
      </c>
      <c r="AA7" s="23">
        <v>69</v>
      </c>
      <c r="AB7" s="23">
        <v>93</v>
      </c>
      <c r="AC7" s="23">
        <v>187</v>
      </c>
      <c r="AD7" s="23">
        <v>88</v>
      </c>
      <c r="AE7" s="23">
        <v>99</v>
      </c>
      <c r="AF7" s="23">
        <v>167</v>
      </c>
      <c r="AG7" s="23">
        <v>82</v>
      </c>
      <c r="AH7" s="23">
        <v>85</v>
      </c>
      <c r="AI7" s="23">
        <v>139</v>
      </c>
      <c r="AJ7" s="23">
        <v>61</v>
      </c>
      <c r="AK7" s="23">
        <v>78</v>
      </c>
      <c r="AL7" s="23">
        <v>137</v>
      </c>
      <c r="AM7" s="23">
        <v>64</v>
      </c>
      <c r="AN7" s="23">
        <v>73</v>
      </c>
      <c r="AO7" s="23">
        <v>115</v>
      </c>
      <c r="AP7" s="23">
        <v>51</v>
      </c>
      <c r="AQ7" s="23">
        <v>64</v>
      </c>
      <c r="AR7" s="23">
        <v>102</v>
      </c>
      <c r="AS7" s="23">
        <v>52</v>
      </c>
      <c r="AT7" s="23">
        <v>50</v>
      </c>
      <c r="AU7" s="23">
        <v>64</v>
      </c>
      <c r="AV7" s="23">
        <v>31</v>
      </c>
      <c r="AW7" s="23">
        <v>33</v>
      </c>
      <c r="AX7" s="23">
        <v>59</v>
      </c>
      <c r="AY7" s="23">
        <v>25</v>
      </c>
      <c r="AZ7" s="23">
        <v>34</v>
      </c>
      <c r="BA7" s="23">
        <v>40</v>
      </c>
      <c r="BB7" s="23">
        <v>20</v>
      </c>
      <c r="BC7" s="23">
        <v>20</v>
      </c>
      <c r="BD7" s="23">
        <v>14</v>
      </c>
      <c r="BE7" s="23">
        <v>8</v>
      </c>
      <c r="BF7" s="23">
        <v>6</v>
      </c>
      <c r="BG7" s="23">
        <v>5</v>
      </c>
      <c r="BH7" s="23">
        <v>2</v>
      </c>
      <c r="BI7" s="23">
        <v>3</v>
      </c>
      <c r="BJ7" s="23">
        <v>0</v>
      </c>
      <c r="BK7" s="23">
        <v>0</v>
      </c>
      <c r="BL7" s="23">
        <v>0</v>
      </c>
    </row>
    <row r="8" spans="1:64" ht="14.25" customHeight="1" x14ac:dyDescent="0.55000000000000004">
      <c r="A8" s="21">
        <v>5</v>
      </c>
      <c r="B8" s="21">
        <v>2372</v>
      </c>
      <c r="C8" s="21">
        <f t="shared" ref="C8:D8" si="4">SUM(F8,I8,L8,O8,R8,U8,X8,AA8,AD8,AG8,AJ8,AM8,AP8,AS8,AV8,AY8,BB8,BE8,BH8,BK8)</f>
        <v>1071</v>
      </c>
      <c r="D8" s="21">
        <f t="shared" si="4"/>
        <v>1301</v>
      </c>
      <c r="E8" s="21">
        <v>155</v>
      </c>
      <c r="F8" s="21">
        <v>80</v>
      </c>
      <c r="G8" s="21">
        <v>75</v>
      </c>
      <c r="H8" s="21">
        <v>180</v>
      </c>
      <c r="I8" s="21">
        <v>98</v>
      </c>
      <c r="J8" s="21">
        <v>82</v>
      </c>
      <c r="K8" s="21">
        <v>204</v>
      </c>
      <c r="L8" s="21">
        <v>97</v>
      </c>
      <c r="M8" s="21">
        <v>107</v>
      </c>
      <c r="N8" s="21">
        <v>236</v>
      </c>
      <c r="O8" s="21">
        <v>117</v>
      </c>
      <c r="P8" s="21">
        <v>119</v>
      </c>
      <c r="Q8" s="21">
        <v>190</v>
      </c>
      <c r="R8" s="21">
        <v>75</v>
      </c>
      <c r="S8" s="21">
        <v>115</v>
      </c>
      <c r="T8" s="21">
        <v>144</v>
      </c>
      <c r="U8" s="21">
        <v>50</v>
      </c>
      <c r="V8" s="21">
        <v>94</v>
      </c>
      <c r="W8" s="21">
        <v>138</v>
      </c>
      <c r="X8" s="21">
        <v>54</v>
      </c>
      <c r="Y8" s="21">
        <v>84</v>
      </c>
      <c r="Z8" s="21">
        <v>134</v>
      </c>
      <c r="AA8" s="21">
        <v>46</v>
      </c>
      <c r="AB8" s="21">
        <v>88</v>
      </c>
      <c r="AC8" s="21">
        <v>141</v>
      </c>
      <c r="AD8" s="21">
        <v>51</v>
      </c>
      <c r="AE8" s="21">
        <v>90</v>
      </c>
      <c r="AF8" s="21">
        <v>145</v>
      </c>
      <c r="AG8" s="21">
        <v>67</v>
      </c>
      <c r="AH8" s="21">
        <v>78</v>
      </c>
      <c r="AI8" s="21">
        <v>154</v>
      </c>
      <c r="AJ8" s="21">
        <v>70</v>
      </c>
      <c r="AK8" s="21">
        <v>84</v>
      </c>
      <c r="AL8" s="21">
        <v>140</v>
      </c>
      <c r="AM8" s="21">
        <v>64</v>
      </c>
      <c r="AN8" s="21">
        <v>76</v>
      </c>
      <c r="AO8" s="21">
        <v>111</v>
      </c>
      <c r="AP8" s="21">
        <v>54</v>
      </c>
      <c r="AQ8" s="21">
        <v>57</v>
      </c>
      <c r="AR8" s="21">
        <v>114</v>
      </c>
      <c r="AS8" s="21">
        <v>57</v>
      </c>
      <c r="AT8" s="21">
        <v>57</v>
      </c>
      <c r="AU8" s="21">
        <v>89</v>
      </c>
      <c r="AV8" s="21">
        <v>45</v>
      </c>
      <c r="AW8" s="21">
        <v>44</v>
      </c>
      <c r="AX8" s="21">
        <v>46</v>
      </c>
      <c r="AY8" s="21">
        <v>27</v>
      </c>
      <c r="AZ8" s="21">
        <v>19</v>
      </c>
      <c r="BA8" s="21">
        <v>34</v>
      </c>
      <c r="BB8" s="21">
        <v>15</v>
      </c>
      <c r="BC8" s="21">
        <v>19</v>
      </c>
      <c r="BD8" s="21">
        <v>11</v>
      </c>
      <c r="BE8" s="21">
        <v>4</v>
      </c>
      <c r="BF8" s="21">
        <v>7</v>
      </c>
      <c r="BG8" s="21">
        <v>5</v>
      </c>
      <c r="BH8" s="21">
        <v>0</v>
      </c>
      <c r="BI8" s="21">
        <v>5</v>
      </c>
      <c r="BJ8" s="21">
        <v>1</v>
      </c>
      <c r="BK8" s="21">
        <v>0</v>
      </c>
      <c r="BL8" s="21">
        <v>1</v>
      </c>
    </row>
    <row r="9" spans="1:64" ht="14.25" customHeight="1" x14ac:dyDescent="0.55000000000000004">
      <c r="A9" s="23">
        <v>6</v>
      </c>
      <c r="B9" s="23">
        <v>2700</v>
      </c>
      <c r="C9" s="21">
        <f t="shared" ref="C9:D9" si="5">SUM(F9,I9,L9,O9,R9,U9,X9,AA9,AD9,AG9,AJ9,AM9,AP9,AS9,AV9,AY9,BB9,BE9,BH9,BK9)</f>
        <v>1288</v>
      </c>
      <c r="D9" s="21">
        <f t="shared" si="5"/>
        <v>1412</v>
      </c>
      <c r="E9" s="23">
        <v>190</v>
      </c>
      <c r="F9" s="23">
        <v>98</v>
      </c>
      <c r="G9" s="23">
        <v>92</v>
      </c>
      <c r="H9" s="23">
        <v>192</v>
      </c>
      <c r="I9" s="23">
        <v>97</v>
      </c>
      <c r="J9" s="23">
        <v>95</v>
      </c>
      <c r="K9" s="23">
        <v>229</v>
      </c>
      <c r="L9" s="23">
        <v>127</v>
      </c>
      <c r="M9" s="23">
        <v>102</v>
      </c>
      <c r="N9" s="23">
        <v>214</v>
      </c>
      <c r="O9" s="23">
        <v>108</v>
      </c>
      <c r="P9" s="23">
        <v>106</v>
      </c>
      <c r="Q9" s="23">
        <v>226</v>
      </c>
      <c r="R9" s="23">
        <v>98</v>
      </c>
      <c r="S9" s="23">
        <v>128</v>
      </c>
      <c r="T9" s="23">
        <v>214</v>
      </c>
      <c r="U9" s="23">
        <v>83</v>
      </c>
      <c r="V9" s="23">
        <v>131</v>
      </c>
      <c r="W9" s="23">
        <v>184</v>
      </c>
      <c r="X9" s="23">
        <v>79</v>
      </c>
      <c r="Y9" s="23">
        <v>105</v>
      </c>
      <c r="Z9" s="23">
        <v>164</v>
      </c>
      <c r="AA9" s="23">
        <v>77</v>
      </c>
      <c r="AB9" s="23">
        <v>87</v>
      </c>
      <c r="AC9" s="23">
        <v>188</v>
      </c>
      <c r="AD9" s="23">
        <v>85</v>
      </c>
      <c r="AE9" s="23">
        <v>103</v>
      </c>
      <c r="AF9" s="23">
        <v>165</v>
      </c>
      <c r="AG9" s="23">
        <v>76</v>
      </c>
      <c r="AH9" s="23">
        <v>89</v>
      </c>
      <c r="AI9" s="23">
        <v>152</v>
      </c>
      <c r="AJ9" s="23">
        <v>72</v>
      </c>
      <c r="AK9" s="23">
        <v>80</v>
      </c>
      <c r="AL9" s="23">
        <v>142</v>
      </c>
      <c r="AM9" s="23">
        <v>68</v>
      </c>
      <c r="AN9" s="23">
        <v>74</v>
      </c>
      <c r="AO9" s="23">
        <v>117</v>
      </c>
      <c r="AP9" s="23">
        <v>59</v>
      </c>
      <c r="AQ9" s="23">
        <v>58</v>
      </c>
      <c r="AR9" s="23">
        <v>104</v>
      </c>
      <c r="AS9" s="23">
        <v>51</v>
      </c>
      <c r="AT9" s="23">
        <v>53</v>
      </c>
      <c r="AU9" s="23">
        <v>94</v>
      </c>
      <c r="AV9" s="23">
        <v>49</v>
      </c>
      <c r="AW9" s="23">
        <v>45</v>
      </c>
      <c r="AX9" s="23">
        <v>67</v>
      </c>
      <c r="AY9" s="23">
        <v>35</v>
      </c>
      <c r="AZ9" s="23">
        <v>32</v>
      </c>
      <c r="BA9" s="23">
        <v>36</v>
      </c>
      <c r="BB9" s="23">
        <v>17</v>
      </c>
      <c r="BC9" s="23">
        <v>19</v>
      </c>
      <c r="BD9" s="23">
        <v>16</v>
      </c>
      <c r="BE9" s="23">
        <v>7</v>
      </c>
      <c r="BF9" s="23">
        <v>9</v>
      </c>
      <c r="BG9" s="23">
        <v>5</v>
      </c>
      <c r="BH9" s="23">
        <v>2</v>
      </c>
      <c r="BI9" s="23">
        <v>3</v>
      </c>
      <c r="BJ9" s="23">
        <v>1</v>
      </c>
      <c r="BK9" s="23">
        <v>0</v>
      </c>
      <c r="BL9" s="23">
        <v>1</v>
      </c>
    </row>
    <row r="10" spans="1:64" ht="14.25" customHeight="1" x14ac:dyDescent="0.55000000000000004">
      <c r="A10" s="23">
        <v>7</v>
      </c>
      <c r="B10" s="23">
        <v>3731</v>
      </c>
      <c r="C10" s="21">
        <f t="shared" ref="C10:D10" si="6">SUM(F10,I10,L10,O10,R10,U10,X10,AA10,AD10,AG10,AJ10,AM10,AP10,AS10,AV10,AY10,BB10,BE10,BH10,BK10)</f>
        <v>1755</v>
      </c>
      <c r="D10" s="21">
        <f t="shared" si="6"/>
        <v>1976</v>
      </c>
      <c r="E10" s="23">
        <v>277</v>
      </c>
      <c r="F10" s="23">
        <v>143</v>
      </c>
      <c r="G10" s="23">
        <v>134</v>
      </c>
      <c r="H10" s="23">
        <v>280</v>
      </c>
      <c r="I10" s="23">
        <v>148</v>
      </c>
      <c r="J10" s="23">
        <v>132</v>
      </c>
      <c r="K10" s="23">
        <v>309</v>
      </c>
      <c r="L10" s="23">
        <v>155</v>
      </c>
      <c r="M10" s="23">
        <v>154</v>
      </c>
      <c r="N10" s="23">
        <v>299</v>
      </c>
      <c r="O10" s="23">
        <v>156</v>
      </c>
      <c r="P10" s="23">
        <v>143</v>
      </c>
      <c r="Q10" s="23">
        <v>300</v>
      </c>
      <c r="R10" s="23">
        <v>126</v>
      </c>
      <c r="S10" s="23">
        <v>174</v>
      </c>
      <c r="T10" s="23">
        <v>323</v>
      </c>
      <c r="U10" s="23">
        <v>130</v>
      </c>
      <c r="V10" s="23">
        <v>193</v>
      </c>
      <c r="W10" s="23">
        <v>294</v>
      </c>
      <c r="X10" s="23">
        <v>123</v>
      </c>
      <c r="Y10" s="23">
        <v>171</v>
      </c>
      <c r="Z10" s="23">
        <v>252</v>
      </c>
      <c r="AA10" s="23">
        <v>115</v>
      </c>
      <c r="AB10" s="23">
        <v>137</v>
      </c>
      <c r="AC10" s="23">
        <v>232</v>
      </c>
      <c r="AD10" s="23">
        <v>109</v>
      </c>
      <c r="AE10" s="23">
        <v>123</v>
      </c>
      <c r="AF10" s="23">
        <v>210</v>
      </c>
      <c r="AG10" s="23">
        <v>97</v>
      </c>
      <c r="AH10" s="23">
        <v>113</v>
      </c>
      <c r="AI10" s="23">
        <v>199</v>
      </c>
      <c r="AJ10" s="23">
        <v>88</v>
      </c>
      <c r="AK10" s="23">
        <v>111</v>
      </c>
      <c r="AL10" s="23">
        <v>210</v>
      </c>
      <c r="AM10" s="23">
        <v>104</v>
      </c>
      <c r="AN10" s="23">
        <v>106</v>
      </c>
      <c r="AO10" s="23">
        <v>162</v>
      </c>
      <c r="AP10" s="23">
        <v>86</v>
      </c>
      <c r="AQ10" s="23">
        <v>76</v>
      </c>
      <c r="AR10" s="23">
        <v>144</v>
      </c>
      <c r="AS10" s="23">
        <v>70</v>
      </c>
      <c r="AT10" s="23">
        <v>74</v>
      </c>
      <c r="AU10" s="23">
        <v>97</v>
      </c>
      <c r="AV10" s="23">
        <v>43</v>
      </c>
      <c r="AW10" s="23">
        <v>54</v>
      </c>
      <c r="AX10" s="23">
        <v>73</v>
      </c>
      <c r="AY10" s="23">
        <v>33</v>
      </c>
      <c r="AZ10" s="23">
        <v>40</v>
      </c>
      <c r="BA10" s="23">
        <v>49</v>
      </c>
      <c r="BB10" s="23">
        <v>22</v>
      </c>
      <c r="BC10" s="23">
        <v>27</v>
      </c>
      <c r="BD10" s="23">
        <v>16</v>
      </c>
      <c r="BE10" s="23">
        <v>7</v>
      </c>
      <c r="BF10" s="23">
        <v>9</v>
      </c>
      <c r="BG10" s="23">
        <v>5</v>
      </c>
      <c r="BH10" s="23">
        <v>0</v>
      </c>
      <c r="BI10" s="23">
        <v>5</v>
      </c>
      <c r="BJ10" s="23">
        <v>0</v>
      </c>
      <c r="BK10" s="23">
        <v>0</v>
      </c>
      <c r="BL10" s="23">
        <v>0</v>
      </c>
    </row>
    <row r="11" spans="1:64" ht="14.25" customHeight="1" x14ac:dyDescent="0.55000000000000004"/>
    <row r="12" spans="1:64" ht="14.25" customHeight="1" x14ac:dyDescent="0.55000000000000004">
      <c r="A12" s="23" t="s">
        <v>136</v>
      </c>
      <c r="B12" s="23">
        <f t="shared" ref="B12:D12" si="7">SUM(B6,B7,B9,B10)</f>
        <v>11169</v>
      </c>
      <c r="C12" s="23">
        <f t="shared" si="7"/>
        <v>5238</v>
      </c>
      <c r="D12" s="23">
        <f t="shared" si="7"/>
        <v>5931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</row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21.15625" customWidth="1"/>
    <col min="2" max="64" width="10" customWidth="1"/>
  </cols>
  <sheetData>
    <row r="1" spans="1:64" ht="14.25" customHeight="1" x14ac:dyDescent="0.6">
      <c r="A1" s="56" t="s">
        <v>138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119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125</v>
      </c>
      <c r="D3" s="6" t="s">
        <v>117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3">
        <v>1</v>
      </c>
      <c r="B4" s="23">
        <v>2038</v>
      </c>
      <c r="C4" s="23">
        <f t="shared" ref="C4:D4" si="0">SUM(F4,I4,L4,O4,R4,U4,X4,AA4,AD4,AG4,AJ4,AM4,AP4,AS4,AV4,AY4,BB4,BE4,BH4,BK4)</f>
        <v>970</v>
      </c>
      <c r="D4" s="23">
        <f t="shared" si="0"/>
        <v>1068</v>
      </c>
      <c r="E4" s="23">
        <v>140</v>
      </c>
      <c r="F4" s="23">
        <v>75</v>
      </c>
      <c r="G4" s="23">
        <v>65</v>
      </c>
      <c r="H4" s="23">
        <v>140</v>
      </c>
      <c r="I4" s="23">
        <v>71</v>
      </c>
      <c r="J4" s="23">
        <v>69</v>
      </c>
      <c r="K4" s="23">
        <v>171</v>
      </c>
      <c r="L4" s="23">
        <v>89</v>
      </c>
      <c r="M4" s="23">
        <v>82</v>
      </c>
      <c r="N4" s="23">
        <v>169</v>
      </c>
      <c r="O4" s="23">
        <v>87</v>
      </c>
      <c r="P4" s="23">
        <v>82</v>
      </c>
      <c r="Q4" s="23">
        <v>155</v>
      </c>
      <c r="R4" s="23">
        <v>67</v>
      </c>
      <c r="S4" s="23">
        <v>88</v>
      </c>
      <c r="T4" s="23">
        <v>136</v>
      </c>
      <c r="U4" s="23">
        <v>58</v>
      </c>
      <c r="V4" s="23">
        <v>78</v>
      </c>
      <c r="W4" s="23">
        <v>138</v>
      </c>
      <c r="X4" s="23">
        <v>68</v>
      </c>
      <c r="Y4" s="23">
        <v>70</v>
      </c>
      <c r="Z4" s="23">
        <v>130</v>
      </c>
      <c r="AA4" s="23">
        <v>55</v>
      </c>
      <c r="AB4" s="23">
        <v>75</v>
      </c>
      <c r="AC4" s="23">
        <v>136</v>
      </c>
      <c r="AD4" s="23">
        <v>52</v>
      </c>
      <c r="AE4" s="23">
        <v>84</v>
      </c>
      <c r="AF4" s="23">
        <v>122</v>
      </c>
      <c r="AG4" s="23">
        <v>60</v>
      </c>
      <c r="AH4" s="23">
        <v>62</v>
      </c>
      <c r="AI4" s="23">
        <v>112</v>
      </c>
      <c r="AJ4" s="23">
        <v>53</v>
      </c>
      <c r="AK4" s="23">
        <v>59</v>
      </c>
      <c r="AL4" s="23">
        <v>105</v>
      </c>
      <c r="AM4" s="23">
        <v>55</v>
      </c>
      <c r="AN4" s="23">
        <v>50</v>
      </c>
      <c r="AO4" s="23">
        <v>101</v>
      </c>
      <c r="AP4" s="23">
        <v>55</v>
      </c>
      <c r="AQ4" s="23">
        <v>46</v>
      </c>
      <c r="AR4" s="23">
        <v>88</v>
      </c>
      <c r="AS4" s="23">
        <v>42</v>
      </c>
      <c r="AT4" s="23">
        <v>46</v>
      </c>
      <c r="AU4" s="23">
        <v>84</v>
      </c>
      <c r="AV4" s="23">
        <v>36</v>
      </c>
      <c r="AW4" s="23">
        <v>48</v>
      </c>
      <c r="AX4" s="23">
        <v>62</v>
      </c>
      <c r="AY4" s="23">
        <v>26</v>
      </c>
      <c r="AZ4" s="23">
        <v>36</v>
      </c>
      <c r="BA4" s="23">
        <v>33</v>
      </c>
      <c r="BB4" s="23">
        <v>14</v>
      </c>
      <c r="BC4" s="23">
        <v>19</v>
      </c>
      <c r="BD4" s="23">
        <v>10</v>
      </c>
      <c r="BE4" s="23">
        <v>4</v>
      </c>
      <c r="BF4" s="23">
        <v>6</v>
      </c>
      <c r="BG4" s="23">
        <v>6</v>
      </c>
      <c r="BH4" s="23">
        <v>3</v>
      </c>
      <c r="BI4" s="23">
        <v>3</v>
      </c>
      <c r="BJ4" s="23">
        <v>0</v>
      </c>
      <c r="BK4" s="23">
        <v>0</v>
      </c>
      <c r="BL4" s="23">
        <v>0</v>
      </c>
    </row>
    <row r="5" spans="1:64" ht="14.25" customHeight="1" x14ac:dyDescent="0.55000000000000004">
      <c r="A5" s="23">
        <v>2</v>
      </c>
      <c r="B5" s="23">
        <v>2742</v>
      </c>
      <c r="C5" s="23">
        <f t="shared" ref="C5:D5" si="1">SUM(F5,I5,L5,O5,R5,U5,X5,AA5,AD5,AG5,AJ5,AM5,AP5,AS5,AV5,AY5,BB5,BE5,BH5,BK5)</f>
        <v>1249</v>
      </c>
      <c r="D5" s="23">
        <f t="shared" si="1"/>
        <v>1493</v>
      </c>
      <c r="E5" s="23">
        <v>193</v>
      </c>
      <c r="F5" s="23">
        <v>103</v>
      </c>
      <c r="G5" s="23">
        <v>90</v>
      </c>
      <c r="H5" s="23">
        <v>199</v>
      </c>
      <c r="I5" s="23">
        <v>105</v>
      </c>
      <c r="J5" s="23">
        <v>94</v>
      </c>
      <c r="K5" s="23">
        <v>176</v>
      </c>
      <c r="L5" s="23">
        <v>85</v>
      </c>
      <c r="M5" s="23">
        <v>91</v>
      </c>
      <c r="N5" s="23">
        <v>200</v>
      </c>
      <c r="O5" s="23">
        <v>87</v>
      </c>
      <c r="P5" s="23">
        <v>113</v>
      </c>
      <c r="Q5" s="23">
        <v>201</v>
      </c>
      <c r="R5" s="23">
        <v>81</v>
      </c>
      <c r="S5" s="23">
        <v>120</v>
      </c>
      <c r="T5" s="23">
        <v>188</v>
      </c>
      <c r="U5" s="23">
        <v>77</v>
      </c>
      <c r="V5" s="23">
        <v>111</v>
      </c>
      <c r="W5" s="23">
        <v>190</v>
      </c>
      <c r="X5" s="23">
        <v>79</v>
      </c>
      <c r="Y5" s="23">
        <v>111</v>
      </c>
      <c r="Z5" s="23">
        <v>146</v>
      </c>
      <c r="AA5" s="23">
        <v>70</v>
      </c>
      <c r="AB5" s="23">
        <v>76</v>
      </c>
      <c r="AC5" s="23">
        <v>142</v>
      </c>
      <c r="AD5" s="23">
        <v>61</v>
      </c>
      <c r="AE5" s="23">
        <v>81</v>
      </c>
      <c r="AF5" s="23">
        <v>166</v>
      </c>
      <c r="AG5" s="23">
        <v>75</v>
      </c>
      <c r="AH5" s="23">
        <v>91</v>
      </c>
      <c r="AI5" s="23">
        <v>156</v>
      </c>
      <c r="AJ5" s="23">
        <v>70</v>
      </c>
      <c r="AK5" s="23">
        <v>86</v>
      </c>
      <c r="AL5" s="23">
        <v>188</v>
      </c>
      <c r="AM5" s="23">
        <v>84</v>
      </c>
      <c r="AN5" s="23">
        <v>104</v>
      </c>
      <c r="AO5" s="23">
        <v>167</v>
      </c>
      <c r="AP5" s="23">
        <v>78</v>
      </c>
      <c r="AQ5" s="23">
        <v>89</v>
      </c>
      <c r="AR5" s="23">
        <v>135</v>
      </c>
      <c r="AS5" s="23">
        <v>70</v>
      </c>
      <c r="AT5" s="23">
        <v>65</v>
      </c>
      <c r="AU5" s="23">
        <v>117</v>
      </c>
      <c r="AV5" s="23">
        <v>51</v>
      </c>
      <c r="AW5" s="23">
        <v>66</v>
      </c>
      <c r="AX5" s="23">
        <v>81</v>
      </c>
      <c r="AY5" s="23">
        <v>31</v>
      </c>
      <c r="AZ5" s="23">
        <v>50</v>
      </c>
      <c r="BA5" s="23">
        <v>52</v>
      </c>
      <c r="BB5" s="23">
        <v>24</v>
      </c>
      <c r="BC5" s="23">
        <v>28</v>
      </c>
      <c r="BD5" s="23">
        <v>29</v>
      </c>
      <c r="BE5" s="23">
        <v>15</v>
      </c>
      <c r="BF5" s="23">
        <v>14</v>
      </c>
      <c r="BG5" s="23">
        <v>8</v>
      </c>
      <c r="BH5" s="23">
        <v>2</v>
      </c>
      <c r="BI5" s="23">
        <v>6</v>
      </c>
      <c r="BJ5" s="23">
        <v>8</v>
      </c>
      <c r="BK5" s="23">
        <v>1</v>
      </c>
      <c r="BL5" s="23">
        <v>7</v>
      </c>
    </row>
    <row r="6" spans="1:64" ht="14.25" customHeight="1" x14ac:dyDescent="0.55000000000000004">
      <c r="A6" s="21">
        <v>3</v>
      </c>
      <c r="B6" s="21">
        <v>1426</v>
      </c>
      <c r="C6" s="23">
        <f t="shared" ref="C6:D6" si="2">SUM(F6,I6,L6,O6,R6,U6,X6,AA6,AD6,AG6,AJ6,AM6,AP6,AS6,AV6,AY6,BB6,BE6,BH6,BK6)</f>
        <v>634</v>
      </c>
      <c r="D6" s="23">
        <f t="shared" si="2"/>
        <v>792</v>
      </c>
      <c r="E6" s="21">
        <v>75</v>
      </c>
      <c r="F6" s="21">
        <v>40</v>
      </c>
      <c r="G6" s="21">
        <v>35</v>
      </c>
      <c r="H6" s="21">
        <v>80</v>
      </c>
      <c r="I6" s="21">
        <v>40</v>
      </c>
      <c r="J6" s="21">
        <v>40</v>
      </c>
      <c r="K6" s="21">
        <v>80</v>
      </c>
      <c r="L6" s="21">
        <v>45</v>
      </c>
      <c r="M6" s="21">
        <v>35</v>
      </c>
      <c r="N6" s="21">
        <v>91</v>
      </c>
      <c r="O6" s="21">
        <v>47</v>
      </c>
      <c r="P6" s="21">
        <v>44</v>
      </c>
      <c r="Q6" s="21">
        <v>70</v>
      </c>
      <c r="R6" s="21">
        <v>26</v>
      </c>
      <c r="S6" s="21">
        <v>44</v>
      </c>
      <c r="T6" s="21">
        <v>55</v>
      </c>
      <c r="U6" s="21">
        <v>15</v>
      </c>
      <c r="V6" s="21">
        <v>40</v>
      </c>
      <c r="W6" s="21">
        <v>67</v>
      </c>
      <c r="X6" s="21">
        <v>23</v>
      </c>
      <c r="Y6" s="21">
        <v>44</v>
      </c>
      <c r="Z6" s="21">
        <v>61</v>
      </c>
      <c r="AA6" s="21">
        <v>23</v>
      </c>
      <c r="AB6" s="21">
        <v>38</v>
      </c>
      <c r="AC6" s="21">
        <v>75</v>
      </c>
      <c r="AD6" s="21">
        <v>30</v>
      </c>
      <c r="AE6" s="21">
        <v>45</v>
      </c>
      <c r="AF6" s="21">
        <v>90</v>
      </c>
      <c r="AG6" s="21">
        <v>32</v>
      </c>
      <c r="AH6" s="21">
        <v>58</v>
      </c>
      <c r="AI6" s="21">
        <v>106</v>
      </c>
      <c r="AJ6" s="21">
        <v>43</v>
      </c>
      <c r="AK6" s="21">
        <v>63</v>
      </c>
      <c r="AL6" s="21">
        <v>130</v>
      </c>
      <c r="AM6" s="21">
        <v>54</v>
      </c>
      <c r="AN6" s="21">
        <v>76</v>
      </c>
      <c r="AO6" s="21">
        <v>126</v>
      </c>
      <c r="AP6" s="21">
        <v>60</v>
      </c>
      <c r="AQ6" s="21">
        <v>66</v>
      </c>
      <c r="AR6" s="21">
        <v>109</v>
      </c>
      <c r="AS6" s="21">
        <v>56</v>
      </c>
      <c r="AT6" s="21">
        <v>53</v>
      </c>
      <c r="AU6" s="21">
        <v>87</v>
      </c>
      <c r="AV6" s="21">
        <v>43</v>
      </c>
      <c r="AW6" s="21">
        <v>44</v>
      </c>
      <c r="AX6" s="21">
        <v>61</v>
      </c>
      <c r="AY6" s="21">
        <v>29</v>
      </c>
      <c r="AZ6" s="21">
        <v>32</v>
      </c>
      <c r="BA6" s="21">
        <v>34</v>
      </c>
      <c r="BB6" s="21">
        <v>15</v>
      </c>
      <c r="BC6" s="21">
        <v>19</v>
      </c>
      <c r="BD6" s="21">
        <v>18</v>
      </c>
      <c r="BE6" s="21">
        <v>8</v>
      </c>
      <c r="BF6" s="21">
        <v>10</v>
      </c>
      <c r="BG6" s="21">
        <v>10</v>
      </c>
      <c r="BH6" s="21">
        <v>5</v>
      </c>
      <c r="BI6" s="21">
        <v>5</v>
      </c>
      <c r="BJ6" s="21">
        <v>1</v>
      </c>
      <c r="BK6" s="21">
        <v>0</v>
      </c>
      <c r="BL6" s="21">
        <v>1</v>
      </c>
    </row>
    <row r="7" spans="1:64" ht="14.25" customHeight="1" x14ac:dyDescent="0.55000000000000004">
      <c r="A7" s="21">
        <v>4</v>
      </c>
      <c r="B7" s="21">
        <v>1761</v>
      </c>
      <c r="C7" s="23">
        <f t="shared" ref="C7:D7" si="3">SUM(F7,I7,L7,O7,R7,U7,X7,AA7,AD7,AG7,AJ7,AM7,AP7,AS7,AV7,AY7,BB7,BE7,BH7,BK7)</f>
        <v>780</v>
      </c>
      <c r="D7" s="23">
        <f t="shared" si="3"/>
        <v>981</v>
      </c>
      <c r="E7" s="21">
        <v>112</v>
      </c>
      <c r="F7" s="21">
        <v>60</v>
      </c>
      <c r="G7" s="21">
        <v>52</v>
      </c>
      <c r="H7" s="21">
        <v>140</v>
      </c>
      <c r="I7" s="21">
        <v>70</v>
      </c>
      <c r="J7" s="21">
        <v>70</v>
      </c>
      <c r="K7" s="21">
        <v>114</v>
      </c>
      <c r="L7" s="21">
        <v>60</v>
      </c>
      <c r="M7" s="21">
        <v>54</v>
      </c>
      <c r="N7" s="21">
        <v>139</v>
      </c>
      <c r="O7" s="21">
        <v>72</v>
      </c>
      <c r="P7" s="21">
        <v>67</v>
      </c>
      <c r="Q7" s="21">
        <v>133</v>
      </c>
      <c r="R7" s="21">
        <v>57</v>
      </c>
      <c r="S7" s="21">
        <v>76</v>
      </c>
      <c r="T7" s="21">
        <v>81</v>
      </c>
      <c r="U7" s="21">
        <v>26</v>
      </c>
      <c r="V7" s="21">
        <v>55</v>
      </c>
      <c r="W7" s="21">
        <v>88</v>
      </c>
      <c r="X7" s="21">
        <v>29</v>
      </c>
      <c r="Y7" s="21">
        <v>59</v>
      </c>
      <c r="Z7" s="21">
        <v>84</v>
      </c>
      <c r="AA7" s="21">
        <v>30</v>
      </c>
      <c r="AB7" s="21">
        <v>54</v>
      </c>
      <c r="AC7" s="21">
        <v>102</v>
      </c>
      <c r="AD7" s="21">
        <v>32</v>
      </c>
      <c r="AE7" s="21">
        <v>70</v>
      </c>
      <c r="AF7" s="21">
        <v>112</v>
      </c>
      <c r="AG7" s="21">
        <v>44</v>
      </c>
      <c r="AH7" s="21">
        <v>68</v>
      </c>
      <c r="AI7" s="21">
        <v>114</v>
      </c>
      <c r="AJ7" s="21">
        <v>50</v>
      </c>
      <c r="AK7" s="21">
        <v>64</v>
      </c>
      <c r="AL7" s="21">
        <v>117</v>
      </c>
      <c r="AM7" s="21">
        <v>53</v>
      </c>
      <c r="AN7" s="21">
        <v>64</v>
      </c>
      <c r="AO7" s="21">
        <v>101</v>
      </c>
      <c r="AP7" s="21">
        <v>51</v>
      </c>
      <c r="AQ7" s="21">
        <v>50</v>
      </c>
      <c r="AR7" s="21">
        <v>103</v>
      </c>
      <c r="AS7" s="21">
        <v>54</v>
      </c>
      <c r="AT7" s="21">
        <v>49</v>
      </c>
      <c r="AU7" s="21">
        <v>97</v>
      </c>
      <c r="AV7" s="21">
        <v>41</v>
      </c>
      <c r="AW7" s="21">
        <v>56</v>
      </c>
      <c r="AX7" s="21">
        <v>65</v>
      </c>
      <c r="AY7" s="21">
        <v>26</v>
      </c>
      <c r="AZ7" s="21">
        <v>39</v>
      </c>
      <c r="BA7" s="21">
        <v>36</v>
      </c>
      <c r="BB7" s="21">
        <v>16</v>
      </c>
      <c r="BC7" s="21">
        <v>20</v>
      </c>
      <c r="BD7" s="21">
        <v>12</v>
      </c>
      <c r="BE7" s="21">
        <v>5</v>
      </c>
      <c r="BF7" s="21">
        <v>7</v>
      </c>
      <c r="BG7" s="21">
        <v>9</v>
      </c>
      <c r="BH7" s="21">
        <v>4</v>
      </c>
      <c r="BI7" s="21">
        <v>5</v>
      </c>
      <c r="BJ7" s="21">
        <v>2</v>
      </c>
      <c r="BK7" s="21">
        <v>0</v>
      </c>
      <c r="BL7" s="21">
        <v>2</v>
      </c>
    </row>
    <row r="8" spans="1:64" ht="14.25" customHeight="1" x14ac:dyDescent="0.55000000000000004">
      <c r="A8" s="21">
        <v>5</v>
      </c>
      <c r="B8" s="21">
        <v>2378</v>
      </c>
      <c r="C8" s="23">
        <f t="shared" ref="C8:D8" si="4">SUM(F8,I8,L8,O8,R8,U8,X8,AA8,AD8,AG8,AJ8,AM8,AP8,AS8,AV8,AY8,BB8,BE8,BH8,BK8)</f>
        <v>1077</v>
      </c>
      <c r="D8" s="23">
        <f t="shared" si="4"/>
        <v>1301</v>
      </c>
      <c r="E8" s="21">
        <v>160</v>
      </c>
      <c r="F8" s="21">
        <v>85</v>
      </c>
      <c r="G8" s="21">
        <v>75</v>
      </c>
      <c r="H8" s="21">
        <v>162</v>
      </c>
      <c r="I8" s="21">
        <v>85</v>
      </c>
      <c r="J8" s="21">
        <v>77</v>
      </c>
      <c r="K8" s="21">
        <v>177</v>
      </c>
      <c r="L8" s="21">
        <v>91</v>
      </c>
      <c r="M8" s="21">
        <v>86</v>
      </c>
      <c r="N8" s="21">
        <v>182</v>
      </c>
      <c r="O8" s="21">
        <v>91</v>
      </c>
      <c r="P8" s="21">
        <v>91</v>
      </c>
      <c r="Q8" s="21">
        <v>165</v>
      </c>
      <c r="R8" s="21">
        <v>62</v>
      </c>
      <c r="S8" s="21">
        <v>103</v>
      </c>
      <c r="T8" s="21">
        <v>133</v>
      </c>
      <c r="U8" s="21">
        <v>50</v>
      </c>
      <c r="V8" s="21">
        <v>83</v>
      </c>
      <c r="W8" s="21">
        <v>139</v>
      </c>
      <c r="X8" s="21">
        <v>46</v>
      </c>
      <c r="Y8" s="21">
        <v>93</v>
      </c>
      <c r="Z8" s="21">
        <v>125</v>
      </c>
      <c r="AA8" s="21">
        <v>48</v>
      </c>
      <c r="AB8" s="21">
        <v>77</v>
      </c>
      <c r="AC8" s="21">
        <v>122</v>
      </c>
      <c r="AD8" s="21">
        <v>47</v>
      </c>
      <c r="AE8" s="21">
        <v>75</v>
      </c>
      <c r="AF8" s="21">
        <v>165</v>
      </c>
      <c r="AG8" s="21">
        <v>76</v>
      </c>
      <c r="AH8" s="21">
        <v>89</v>
      </c>
      <c r="AI8" s="21">
        <v>149</v>
      </c>
      <c r="AJ8" s="21">
        <v>58</v>
      </c>
      <c r="AK8" s="21">
        <v>91</v>
      </c>
      <c r="AL8" s="21">
        <v>159</v>
      </c>
      <c r="AM8" s="21">
        <v>72</v>
      </c>
      <c r="AN8" s="21">
        <v>87</v>
      </c>
      <c r="AO8" s="21">
        <v>155</v>
      </c>
      <c r="AP8" s="21">
        <v>80</v>
      </c>
      <c r="AQ8" s="21">
        <v>75</v>
      </c>
      <c r="AR8" s="21">
        <v>142</v>
      </c>
      <c r="AS8" s="21">
        <v>71</v>
      </c>
      <c r="AT8" s="21">
        <v>71</v>
      </c>
      <c r="AU8" s="21">
        <v>105</v>
      </c>
      <c r="AV8" s="21">
        <v>54</v>
      </c>
      <c r="AW8" s="21">
        <v>51</v>
      </c>
      <c r="AX8" s="21">
        <v>68</v>
      </c>
      <c r="AY8" s="21">
        <v>29</v>
      </c>
      <c r="AZ8" s="21">
        <v>39</v>
      </c>
      <c r="BA8" s="21">
        <v>43</v>
      </c>
      <c r="BB8" s="21">
        <v>19</v>
      </c>
      <c r="BC8" s="21">
        <v>24</v>
      </c>
      <c r="BD8" s="21">
        <v>19</v>
      </c>
      <c r="BE8" s="21">
        <v>10</v>
      </c>
      <c r="BF8" s="21">
        <v>9</v>
      </c>
      <c r="BG8" s="21">
        <v>7</v>
      </c>
      <c r="BH8" s="21">
        <v>3</v>
      </c>
      <c r="BI8" s="21">
        <v>4</v>
      </c>
      <c r="BJ8" s="21">
        <v>1</v>
      </c>
      <c r="BK8" s="21">
        <v>0</v>
      </c>
      <c r="BL8" s="21">
        <v>1</v>
      </c>
    </row>
    <row r="9" spans="1:64" ht="14.25" customHeight="1" x14ac:dyDescent="0.55000000000000004">
      <c r="A9" s="23">
        <v>6</v>
      </c>
      <c r="B9" s="23">
        <v>3195</v>
      </c>
      <c r="C9" s="23">
        <f t="shared" ref="C9:D9" si="5">SUM(F9,I9,L9,O9,R9,U9,X9,AA9,AD9,AG9,AJ9,AM9,AP9,AS9,AV9,AY9,BB9,BE9,BH9,BK9)</f>
        <v>1499</v>
      </c>
      <c r="D9" s="23">
        <f t="shared" si="5"/>
        <v>1696</v>
      </c>
      <c r="E9" s="23">
        <v>274</v>
      </c>
      <c r="F9" s="23">
        <v>145</v>
      </c>
      <c r="G9" s="23">
        <v>129</v>
      </c>
      <c r="H9" s="23">
        <v>228</v>
      </c>
      <c r="I9" s="23">
        <v>122</v>
      </c>
      <c r="J9" s="23">
        <v>106</v>
      </c>
      <c r="K9" s="23">
        <v>232</v>
      </c>
      <c r="L9" s="23">
        <v>118</v>
      </c>
      <c r="M9" s="23">
        <v>114</v>
      </c>
      <c r="N9" s="23">
        <v>280</v>
      </c>
      <c r="O9" s="23">
        <v>118</v>
      </c>
      <c r="P9" s="23">
        <v>162</v>
      </c>
      <c r="Q9" s="23">
        <v>308</v>
      </c>
      <c r="R9" s="23">
        <v>125</v>
      </c>
      <c r="S9" s="23">
        <v>183</v>
      </c>
      <c r="T9" s="23">
        <v>300</v>
      </c>
      <c r="U9" s="23">
        <v>118</v>
      </c>
      <c r="V9" s="23">
        <v>182</v>
      </c>
      <c r="W9" s="23">
        <v>214</v>
      </c>
      <c r="X9" s="23">
        <v>96</v>
      </c>
      <c r="Y9" s="23">
        <v>118</v>
      </c>
      <c r="Z9" s="23">
        <v>157</v>
      </c>
      <c r="AA9" s="23">
        <v>76</v>
      </c>
      <c r="AB9" s="23">
        <v>81</v>
      </c>
      <c r="AC9" s="23">
        <v>176</v>
      </c>
      <c r="AD9" s="23">
        <v>80</v>
      </c>
      <c r="AE9" s="23">
        <v>96</v>
      </c>
      <c r="AF9" s="23">
        <v>191</v>
      </c>
      <c r="AG9" s="23">
        <v>81</v>
      </c>
      <c r="AH9" s="23">
        <v>110</v>
      </c>
      <c r="AI9" s="23">
        <v>202</v>
      </c>
      <c r="AJ9" s="23">
        <v>104</v>
      </c>
      <c r="AK9" s="23">
        <v>98</v>
      </c>
      <c r="AL9" s="23">
        <v>159</v>
      </c>
      <c r="AM9" s="23">
        <v>84</v>
      </c>
      <c r="AN9" s="23">
        <v>75</v>
      </c>
      <c r="AO9" s="23">
        <v>136</v>
      </c>
      <c r="AP9" s="23">
        <v>66</v>
      </c>
      <c r="AQ9" s="23">
        <v>70</v>
      </c>
      <c r="AR9" s="23">
        <v>132</v>
      </c>
      <c r="AS9" s="23">
        <v>65</v>
      </c>
      <c r="AT9" s="23">
        <v>67</v>
      </c>
      <c r="AU9" s="23">
        <v>93</v>
      </c>
      <c r="AV9" s="23">
        <v>50</v>
      </c>
      <c r="AW9" s="23">
        <v>43</v>
      </c>
      <c r="AX9" s="23">
        <v>62</v>
      </c>
      <c r="AY9" s="23">
        <v>27</v>
      </c>
      <c r="AZ9" s="23">
        <v>35</v>
      </c>
      <c r="BA9" s="23">
        <v>35</v>
      </c>
      <c r="BB9" s="23">
        <v>16</v>
      </c>
      <c r="BC9" s="23">
        <v>19</v>
      </c>
      <c r="BD9" s="23">
        <v>13</v>
      </c>
      <c r="BE9" s="23">
        <v>7</v>
      </c>
      <c r="BF9" s="23">
        <v>6</v>
      </c>
      <c r="BG9" s="23">
        <v>1</v>
      </c>
      <c r="BH9" s="23">
        <v>1</v>
      </c>
      <c r="BI9" s="23">
        <v>0</v>
      </c>
      <c r="BJ9" s="23">
        <v>2</v>
      </c>
      <c r="BK9" s="23">
        <v>0</v>
      </c>
      <c r="BL9" s="23">
        <v>2</v>
      </c>
    </row>
    <row r="10" spans="1:64" ht="14.25" customHeight="1" x14ac:dyDescent="0.55000000000000004">
      <c r="A10" s="23">
        <v>7</v>
      </c>
      <c r="B10" s="23">
        <v>2479</v>
      </c>
      <c r="C10" s="23">
        <f t="shared" ref="C10:D10" si="6">SUM(F10,I10,L10,O10,R10,U10,X10,AA10,AD10,AG10,AJ10,AM10,AP10,AS10,AV10,AY10,BB10,BE10,BH10,BK10)</f>
        <v>1193</v>
      </c>
      <c r="D10" s="23">
        <f t="shared" si="6"/>
        <v>1286</v>
      </c>
      <c r="E10" s="23">
        <v>190</v>
      </c>
      <c r="F10" s="23">
        <v>101</v>
      </c>
      <c r="G10" s="23">
        <v>89</v>
      </c>
      <c r="H10" s="23">
        <v>179</v>
      </c>
      <c r="I10" s="23">
        <v>92</v>
      </c>
      <c r="J10" s="23">
        <v>87</v>
      </c>
      <c r="K10" s="23">
        <v>161</v>
      </c>
      <c r="L10" s="23">
        <v>82</v>
      </c>
      <c r="M10" s="23">
        <v>79</v>
      </c>
      <c r="N10" s="23">
        <v>157</v>
      </c>
      <c r="O10" s="23">
        <v>70</v>
      </c>
      <c r="P10" s="23">
        <v>87</v>
      </c>
      <c r="Q10" s="23">
        <v>193</v>
      </c>
      <c r="R10" s="23">
        <v>84</v>
      </c>
      <c r="S10" s="23">
        <v>109</v>
      </c>
      <c r="T10" s="23">
        <v>208</v>
      </c>
      <c r="U10" s="23">
        <v>88</v>
      </c>
      <c r="V10" s="23">
        <v>120</v>
      </c>
      <c r="W10" s="23">
        <v>192</v>
      </c>
      <c r="X10" s="23">
        <v>92</v>
      </c>
      <c r="Y10" s="23">
        <v>100</v>
      </c>
      <c r="Z10" s="23">
        <v>167</v>
      </c>
      <c r="AA10" s="23">
        <v>89</v>
      </c>
      <c r="AB10" s="23">
        <v>78</v>
      </c>
      <c r="AC10" s="23">
        <v>168</v>
      </c>
      <c r="AD10" s="23">
        <v>72</v>
      </c>
      <c r="AE10" s="23">
        <v>96</v>
      </c>
      <c r="AF10" s="23">
        <v>167</v>
      </c>
      <c r="AG10" s="23">
        <v>83</v>
      </c>
      <c r="AH10" s="23">
        <v>84</v>
      </c>
      <c r="AI10" s="23">
        <v>157</v>
      </c>
      <c r="AJ10" s="23">
        <v>81</v>
      </c>
      <c r="AK10" s="23">
        <v>76</v>
      </c>
      <c r="AL10" s="23">
        <v>163</v>
      </c>
      <c r="AM10" s="23">
        <v>79</v>
      </c>
      <c r="AN10" s="23">
        <v>84</v>
      </c>
      <c r="AO10" s="23">
        <v>109</v>
      </c>
      <c r="AP10" s="23">
        <v>59</v>
      </c>
      <c r="AQ10" s="23">
        <v>50</v>
      </c>
      <c r="AR10" s="23">
        <v>77</v>
      </c>
      <c r="AS10" s="23">
        <v>39</v>
      </c>
      <c r="AT10" s="23">
        <v>38</v>
      </c>
      <c r="AU10" s="23">
        <v>73</v>
      </c>
      <c r="AV10" s="23">
        <v>31</v>
      </c>
      <c r="AW10" s="23">
        <v>42</v>
      </c>
      <c r="AX10" s="23">
        <v>60</v>
      </c>
      <c r="AY10" s="23">
        <v>25</v>
      </c>
      <c r="AZ10" s="23">
        <v>35</v>
      </c>
      <c r="BA10" s="23">
        <v>37</v>
      </c>
      <c r="BB10" s="23">
        <v>16</v>
      </c>
      <c r="BC10" s="23">
        <v>21</v>
      </c>
      <c r="BD10" s="23">
        <v>17</v>
      </c>
      <c r="BE10" s="23">
        <v>8</v>
      </c>
      <c r="BF10" s="23">
        <v>9</v>
      </c>
      <c r="BG10" s="23">
        <v>4</v>
      </c>
      <c r="BH10" s="23">
        <v>2</v>
      </c>
      <c r="BI10" s="23">
        <v>2</v>
      </c>
      <c r="BJ10" s="23">
        <v>0</v>
      </c>
      <c r="BK10" s="23">
        <v>0</v>
      </c>
      <c r="BL10" s="23">
        <v>0</v>
      </c>
    </row>
    <row r="11" spans="1:64" ht="14.25" customHeight="1" x14ac:dyDescent="0.55000000000000004">
      <c r="A11" s="23">
        <v>8</v>
      </c>
      <c r="B11" s="23">
        <v>2937</v>
      </c>
      <c r="C11" s="23">
        <f t="shared" ref="C11:D11" si="7">SUM(F11,I11,L11,O11,R11,U11,X11,AA11,AD11,AG11,AJ11,AM11,AP11,AS11,AV11,AY11,BB11,BE11,BH11,BK11)</f>
        <v>1355</v>
      </c>
      <c r="D11" s="23">
        <f t="shared" si="7"/>
        <v>1582</v>
      </c>
      <c r="E11" s="23">
        <v>225</v>
      </c>
      <c r="F11" s="23">
        <v>119</v>
      </c>
      <c r="G11" s="23">
        <v>106</v>
      </c>
      <c r="H11" s="23">
        <v>201</v>
      </c>
      <c r="I11" s="23">
        <v>95</v>
      </c>
      <c r="J11" s="23">
        <v>106</v>
      </c>
      <c r="K11" s="23">
        <v>229</v>
      </c>
      <c r="L11" s="23">
        <v>121</v>
      </c>
      <c r="M11" s="23">
        <v>108</v>
      </c>
      <c r="N11" s="23">
        <v>213</v>
      </c>
      <c r="O11" s="23">
        <v>108</v>
      </c>
      <c r="P11" s="23">
        <v>105</v>
      </c>
      <c r="Q11" s="23">
        <v>211</v>
      </c>
      <c r="R11" s="23">
        <v>91</v>
      </c>
      <c r="S11" s="23">
        <v>120</v>
      </c>
      <c r="T11" s="23">
        <v>219</v>
      </c>
      <c r="U11" s="23">
        <v>80</v>
      </c>
      <c r="V11" s="23">
        <v>139</v>
      </c>
      <c r="W11" s="23">
        <v>215</v>
      </c>
      <c r="X11" s="23">
        <v>82</v>
      </c>
      <c r="Y11" s="23">
        <v>133</v>
      </c>
      <c r="Z11" s="23">
        <v>181</v>
      </c>
      <c r="AA11" s="23">
        <v>86</v>
      </c>
      <c r="AB11" s="23">
        <v>95</v>
      </c>
      <c r="AC11" s="23">
        <v>177</v>
      </c>
      <c r="AD11" s="23">
        <v>81</v>
      </c>
      <c r="AE11" s="23">
        <v>96</v>
      </c>
      <c r="AF11" s="23">
        <v>197</v>
      </c>
      <c r="AG11" s="23">
        <v>89</v>
      </c>
      <c r="AH11" s="23">
        <v>108</v>
      </c>
      <c r="AI11" s="23">
        <v>183</v>
      </c>
      <c r="AJ11" s="23">
        <v>75</v>
      </c>
      <c r="AK11" s="23">
        <v>108</v>
      </c>
      <c r="AL11" s="23">
        <v>169</v>
      </c>
      <c r="AM11" s="23">
        <v>82</v>
      </c>
      <c r="AN11" s="23">
        <v>87</v>
      </c>
      <c r="AO11" s="23">
        <v>140</v>
      </c>
      <c r="AP11" s="23">
        <v>72</v>
      </c>
      <c r="AQ11" s="23">
        <v>68</v>
      </c>
      <c r="AR11" s="23">
        <v>134</v>
      </c>
      <c r="AS11" s="23">
        <v>68</v>
      </c>
      <c r="AT11" s="23">
        <v>66</v>
      </c>
      <c r="AU11" s="23">
        <v>97</v>
      </c>
      <c r="AV11" s="23">
        <v>43</v>
      </c>
      <c r="AW11" s="23">
        <v>54</v>
      </c>
      <c r="AX11" s="23">
        <v>70</v>
      </c>
      <c r="AY11" s="23">
        <v>34</v>
      </c>
      <c r="AZ11" s="23">
        <v>36</v>
      </c>
      <c r="BA11" s="23">
        <v>50</v>
      </c>
      <c r="BB11" s="23">
        <v>20</v>
      </c>
      <c r="BC11" s="23">
        <v>30</v>
      </c>
      <c r="BD11" s="23">
        <v>17</v>
      </c>
      <c r="BE11" s="23">
        <v>6</v>
      </c>
      <c r="BF11" s="23">
        <v>11</v>
      </c>
      <c r="BG11" s="23">
        <v>9</v>
      </c>
      <c r="BH11" s="23">
        <v>3</v>
      </c>
      <c r="BI11" s="23">
        <v>6</v>
      </c>
      <c r="BJ11" s="23">
        <v>0</v>
      </c>
      <c r="BK11" s="23">
        <v>0</v>
      </c>
      <c r="BL11" s="23">
        <v>0</v>
      </c>
    </row>
    <row r="12" spans="1:64" ht="14.25" customHeight="1" x14ac:dyDescent="0.55000000000000004"/>
    <row r="13" spans="1:64" ht="14.25" customHeight="1" x14ac:dyDescent="0.55000000000000004">
      <c r="A13" s="23" t="s">
        <v>139</v>
      </c>
      <c r="B13" s="23">
        <f t="shared" ref="B13:D13" si="8">SUM(B4,B5,B9,B10,B11)</f>
        <v>13391</v>
      </c>
      <c r="C13" s="23">
        <f t="shared" si="8"/>
        <v>6266</v>
      </c>
      <c r="D13" s="23">
        <f t="shared" si="8"/>
        <v>7125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</row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5.68359375" customWidth="1"/>
    <col min="2" max="64" width="10" customWidth="1"/>
  </cols>
  <sheetData>
    <row r="1" spans="1:64" ht="14.25" customHeight="1" x14ac:dyDescent="0.6">
      <c r="A1" s="56" t="s">
        <v>140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119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44" t="s">
        <v>12</v>
      </c>
      <c r="C3" s="6" t="s">
        <v>37</v>
      </c>
      <c r="D3" s="6" t="s">
        <v>117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2263</v>
      </c>
      <c r="C4" s="21">
        <f t="shared" ref="C4:D4" si="0">SUM(F4,I4,L4,O4,R4,U4,X4,AA4,AD4,AG4,AJ4,AM4,AP4,AS4,AV4,AY4,BB4,BE4,BH4,BK4)</f>
        <v>1047</v>
      </c>
      <c r="D4" s="21">
        <f t="shared" si="0"/>
        <v>1216</v>
      </c>
      <c r="E4" s="21">
        <v>165</v>
      </c>
      <c r="F4" s="21">
        <v>90</v>
      </c>
      <c r="G4" s="21">
        <v>75</v>
      </c>
      <c r="H4" s="21">
        <v>179</v>
      </c>
      <c r="I4" s="21">
        <v>89</v>
      </c>
      <c r="J4" s="21">
        <v>90</v>
      </c>
      <c r="K4" s="21">
        <v>200</v>
      </c>
      <c r="L4" s="21">
        <v>102</v>
      </c>
      <c r="M4" s="21">
        <v>98</v>
      </c>
      <c r="N4" s="21">
        <v>233</v>
      </c>
      <c r="O4" s="21">
        <v>124</v>
      </c>
      <c r="P4" s="21">
        <v>109</v>
      </c>
      <c r="Q4" s="21">
        <v>183</v>
      </c>
      <c r="R4" s="21">
        <v>81</v>
      </c>
      <c r="S4" s="21">
        <v>102</v>
      </c>
      <c r="T4" s="21">
        <v>147</v>
      </c>
      <c r="U4" s="21">
        <v>52</v>
      </c>
      <c r="V4" s="21">
        <v>95</v>
      </c>
      <c r="W4" s="21">
        <v>135</v>
      </c>
      <c r="X4" s="21">
        <v>48</v>
      </c>
      <c r="Y4" s="21">
        <v>87</v>
      </c>
      <c r="Z4" s="21">
        <v>144</v>
      </c>
      <c r="AA4" s="21">
        <v>66</v>
      </c>
      <c r="AB4" s="21">
        <v>78</v>
      </c>
      <c r="AC4" s="21">
        <v>143</v>
      </c>
      <c r="AD4" s="21">
        <v>56</v>
      </c>
      <c r="AE4" s="21">
        <v>87</v>
      </c>
      <c r="AF4" s="21">
        <v>149</v>
      </c>
      <c r="AG4" s="21">
        <v>62</v>
      </c>
      <c r="AH4" s="21">
        <v>87</v>
      </c>
      <c r="AI4" s="21">
        <v>139</v>
      </c>
      <c r="AJ4" s="21">
        <v>63</v>
      </c>
      <c r="AK4" s="21">
        <v>76</v>
      </c>
      <c r="AL4" s="21">
        <v>143</v>
      </c>
      <c r="AM4" s="21">
        <v>73</v>
      </c>
      <c r="AN4" s="21">
        <v>70</v>
      </c>
      <c r="AO4" s="21">
        <v>95</v>
      </c>
      <c r="AP4" s="21">
        <v>48</v>
      </c>
      <c r="AQ4" s="21">
        <v>47</v>
      </c>
      <c r="AR4" s="21">
        <v>64</v>
      </c>
      <c r="AS4" s="21">
        <v>32</v>
      </c>
      <c r="AT4" s="21">
        <v>32</v>
      </c>
      <c r="AU4" s="21">
        <v>59</v>
      </c>
      <c r="AV4" s="21">
        <v>27</v>
      </c>
      <c r="AW4" s="21">
        <v>32</v>
      </c>
      <c r="AX4" s="21">
        <v>47</v>
      </c>
      <c r="AY4" s="21">
        <v>18</v>
      </c>
      <c r="AZ4" s="21">
        <v>29</v>
      </c>
      <c r="BA4" s="21">
        <v>27</v>
      </c>
      <c r="BB4" s="21">
        <v>10</v>
      </c>
      <c r="BC4" s="21">
        <v>17</v>
      </c>
      <c r="BD4" s="21">
        <v>10</v>
      </c>
      <c r="BE4" s="21">
        <v>5</v>
      </c>
      <c r="BF4" s="21">
        <v>5</v>
      </c>
      <c r="BG4" s="21">
        <v>1</v>
      </c>
      <c r="BH4" s="21">
        <v>1</v>
      </c>
      <c r="BI4" s="21">
        <v>0</v>
      </c>
      <c r="BJ4" s="21">
        <v>0</v>
      </c>
      <c r="BK4" s="21">
        <v>0</v>
      </c>
      <c r="BL4" s="21">
        <v>0</v>
      </c>
    </row>
    <row r="5" spans="1:64" ht="14.25" customHeight="1" x14ac:dyDescent="0.55000000000000004">
      <c r="A5" s="21">
        <v>2</v>
      </c>
      <c r="B5" s="21">
        <v>2305</v>
      </c>
      <c r="C5" s="21">
        <f t="shared" ref="C5:D5" si="1">SUM(F5,I5,L5,O5,R5,U5,X5,AA5,AD5,AG5,AJ5,AM5,AP5,AS5,AV5,AY5,BB5,BE5,BH5,BK5)</f>
        <v>1128</v>
      </c>
      <c r="D5" s="21">
        <f t="shared" si="1"/>
        <v>1177</v>
      </c>
      <c r="E5" s="21">
        <v>152</v>
      </c>
      <c r="F5" s="21">
        <v>83</v>
      </c>
      <c r="G5" s="21">
        <v>69</v>
      </c>
      <c r="H5" s="21">
        <v>179</v>
      </c>
      <c r="I5" s="21">
        <v>96</v>
      </c>
      <c r="J5" s="21">
        <v>83</v>
      </c>
      <c r="K5" s="21">
        <v>199</v>
      </c>
      <c r="L5" s="21">
        <v>108</v>
      </c>
      <c r="M5" s="21">
        <v>91</v>
      </c>
      <c r="N5" s="21">
        <v>248</v>
      </c>
      <c r="O5" s="21">
        <v>137</v>
      </c>
      <c r="P5" s="21">
        <v>111</v>
      </c>
      <c r="Q5" s="21">
        <v>200</v>
      </c>
      <c r="R5" s="21">
        <v>94</v>
      </c>
      <c r="S5" s="21">
        <v>106</v>
      </c>
      <c r="T5" s="21">
        <v>133</v>
      </c>
      <c r="U5" s="21">
        <v>48</v>
      </c>
      <c r="V5" s="21">
        <v>85</v>
      </c>
      <c r="W5" s="21">
        <v>127</v>
      </c>
      <c r="X5" s="21">
        <v>54</v>
      </c>
      <c r="Y5" s="21">
        <v>73</v>
      </c>
      <c r="Z5" s="21">
        <v>124</v>
      </c>
      <c r="AA5" s="21">
        <v>56</v>
      </c>
      <c r="AB5" s="21">
        <v>68</v>
      </c>
      <c r="AC5" s="21">
        <v>110</v>
      </c>
      <c r="AD5" s="21">
        <v>51</v>
      </c>
      <c r="AE5" s="21">
        <v>59</v>
      </c>
      <c r="AF5" s="21">
        <v>109</v>
      </c>
      <c r="AG5" s="21">
        <v>46</v>
      </c>
      <c r="AH5" s="21">
        <v>63</v>
      </c>
      <c r="AI5" s="21">
        <v>142</v>
      </c>
      <c r="AJ5" s="21">
        <v>65</v>
      </c>
      <c r="AK5" s="21">
        <v>77</v>
      </c>
      <c r="AL5" s="21">
        <v>149</v>
      </c>
      <c r="AM5" s="21">
        <v>75</v>
      </c>
      <c r="AN5" s="21">
        <v>74</v>
      </c>
      <c r="AO5" s="21">
        <v>127</v>
      </c>
      <c r="AP5" s="21">
        <v>66</v>
      </c>
      <c r="AQ5" s="21">
        <v>61</v>
      </c>
      <c r="AR5" s="21">
        <v>108</v>
      </c>
      <c r="AS5" s="21">
        <v>49</v>
      </c>
      <c r="AT5" s="21">
        <v>59</v>
      </c>
      <c r="AU5" s="21">
        <v>86</v>
      </c>
      <c r="AV5" s="21">
        <v>44</v>
      </c>
      <c r="AW5" s="21">
        <v>42</v>
      </c>
      <c r="AX5" s="21">
        <v>66</v>
      </c>
      <c r="AY5" s="21">
        <v>36</v>
      </c>
      <c r="AZ5" s="21">
        <v>30</v>
      </c>
      <c r="BA5" s="21">
        <v>36</v>
      </c>
      <c r="BB5" s="21">
        <v>18</v>
      </c>
      <c r="BC5" s="21">
        <v>18</v>
      </c>
      <c r="BD5" s="21">
        <v>8</v>
      </c>
      <c r="BE5" s="21">
        <v>2</v>
      </c>
      <c r="BF5" s="21">
        <v>6</v>
      </c>
      <c r="BG5" s="21">
        <v>1</v>
      </c>
      <c r="BH5" s="21">
        <v>0</v>
      </c>
      <c r="BI5" s="21">
        <v>1</v>
      </c>
      <c r="BJ5" s="21">
        <v>1</v>
      </c>
      <c r="BK5" s="21">
        <v>0</v>
      </c>
      <c r="BL5" s="21">
        <v>1</v>
      </c>
    </row>
    <row r="6" spans="1:64" ht="14.25" customHeight="1" x14ac:dyDescent="0.55000000000000004">
      <c r="A6" s="21">
        <v>3</v>
      </c>
      <c r="B6" s="21">
        <v>1426</v>
      </c>
      <c r="C6" s="21">
        <f t="shared" ref="C6:D6" si="2">SUM(F6,I6,L6,O6,R6,U6,X6,AA6,AD6,AG6,AJ6,AM6,AP6,AS6,AV6,AY6,BB6,BE6,BH6,BK6)</f>
        <v>683</v>
      </c>
      <c r="D6" s="21">
        <f t="shared" si="2"/>
        <v>743</v>
      </c>
      <c r="E6" s="21">
        <v>106</v>
      </c>
      <c r="F6" s="21">
        <v>58</v>
      </c>
      <c r="G6" s="21">
        <v>48</v>
      </c>
      <c r="H6" s="21">
        <v>83</v>
      </c>
      <c r="I6" s="21">
        <v>42</v>
      </c>
      <c r="J6" s="21">
        <v>41</v>
      </c>
      <c r="K6" s="21">
        <v>112</v>
      </c>
      <c r="L6" s="21">
        <v>62</v>
      </c>
      <c r="M6" s="21">
        <v>50</v>
      </c>
      <c r="N6" s="21">
        <v>143</v>
      </c>
      <c r="O6" s="21">
        <v>79</v>
      </c>
      <c r="P6" s="21">
        <v>64</v>
      </c>
      <c r="Q6" s="21">
        <v>125</v>
      </c>
      <c r="R6" s="21">
        <v>55</v>
      </c>
      <c r="S6" s="21">
        <v>70</v>
      </c>
      <c r="T6" s="21">
        <v>99</v>
      </c>
      <c r="U6" s="21">
        <v>36</v>
      </c>
      <c r="V6" s="21">
        <v>63</v>
      </c>
      <c r="W6" s="21">
        <v>92</v>
      </c>
      <c r="X6" s="21">
        <v>46</v>
      </c>
      <c r="Y6" s="21">
        <v>46</v>
      </c>
      <c r="Z6" s="21">
        <v>88</v>
      </c>
      <c r="AA6" s="21">
        <v>39</v>
      </c>
      <c r="AB6" s="21">
        <v>49</v>
      </c>
      <c r="AC6" s="21">
        <v>72</v>
      </c>
      <c r="AD6" s="21">
        <v>31</v>
      </c>
      <c r="AE6" s="21">
        <v>41</v>
      </c>
      <c r="AF6" s="21">
        <v>84</v>
      </c>
      <c r="AG6" s="21">
        <v>36</v>
      </c>
      <c r="AH6" s="21">
        <v>48</v>
      </c>
      <c r="AI6" s="21">
        <v>83</v>
      </c>
      <c r="AJ6" s="21">
        <v>41</v>
      </c>
      <c r="AK6" s="21">
        <v>42</v>
      </c>
      <c r="AL6" s="21">
        <v>91</v>
      </c>
      <c r="AM6" s="21">
        <v>45</v>
      </c>
      <c r="AN6" s="21">
        <v>46</v>
      </c>
      <c r="AO6" s="21">
        <v>90</v>
      </c>
      <c r="AP6" s="21">
        <v>36</v>
      </c>
      <c r="AQ6" s="21">
        <v>54</v>
      </c>
      <c r="AR6" s="21">
        <v>61</v>
      </c>
      <c r="AS6" s="21">
        <v>27</v>
      </c>
      <c r="AT6" s="21">
        <v>34</v>
      </c>
      <c r="AU6" s="21">
        <v>38</v>
      </c>
      <c r="AV6" s="21">
        <v>23</v>
      </c>
      <c r="AW6" s="21">
        <v>15</v>
      </c>
      <c r="AX6" s="21">
        <v>37</v>
      </c>
      <c r="AY6" s="21">
        <v>16</v>
      </c>
      <c r="AZ6" s="21">
        <v>21</v>
      </c>
      <c r="BA6" s="21">
        <v>15</v>
      </c>
      <c r="BB6" s="21">
        <v>7</v>
      </c>
      <c r="BC6" s="21">
        <v>8</v>
      </c>
      <c r="BD6" s="21">
        <v>7</v>
      </c>
      <c r="BE6" s="21">
        <v>4</v>
      </c>
      <c r="BF6" s="21">
        <v>3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</row>
    <row r="7" spans="1:64" ht="14.25" customHeight="1" x14ac:dyDescent="0.55000000000000004">
      <c r="A7" s="23">
        <v>4</v>
      </c>
      <c r="B7" s="23">
        <v>1370</v>
      </c>
      <c r="C7" s="21">
        <f t="shared" ref="C7:D7" si="3">SUM(F7,I7,L7,O7,R7,U7,X7,AA7,AD7,AG7,AJ7,AM7,AP7,AS7,AV7,AY7,BB7,BE7,BH7,BK7)</f>
        <v>665</v>
      </c>
      <c r="D7" s="21">
        <f t="shared" si="3"/>
        <v>705</v>
      </c>
      <c r="E7" s="23">
        <v>93</v>
      </c>
      <c r="F7" s="23">
        <v>50</v>
      </c>
      <c r="G7" s="23">
        <v>43</v>
      </c>
      <c r="H7" s="23">
        <v>116</v>
      </c>
      <c r="I7" s="23">
        <v>53</v>
      </c>
      <c r="J7" s="23">
        <v>63</v>
      </c>
      <c r="K7" s="23">
        <v>91</v>
      </c>
      <c r="L7" s="23">
        <v>52</v>
      </c>
      <c r="M7" s="23">
        <v>39</v>
      </c>
      <c r="N7" s="23">
        <v>114</v>
      </c>
      <c r="O7" s="23">
        <v>61</v>
      </c>
      <c r="P7" s="23">
        <v>53</v>
      </c>
      <c r="Q7" s="23">
        <v>96</v>
      </c>
      <c r="R7" s="23">
        <v>37</v>
      </c>
      <c r="S7" s="23">
        <v>59</v>
      </c>
      <c r="T7" s="23">
        <v>101</v>
      </c>
      <c r="U7" s="23">
        <v>37</v>
      </c>
      <c r="V7" s="23">
        <v>64</v>
      </c>
      <c r="W7" s="23">
        <v>72</v>
      </c>
      <c r="X7" s="23">
        <v>35</v>
      </c>
      <c r="Y7" s="23">
        <v>37</v>
      </c>
      <c r="Z7" s="23">
        <v>62</v>
      </c>
      <c r="AA7" s="23">
        <v>31</v>
      </c>
      <c r="AB7" s="23">
        <v>31</v>
      </c>
      <c r="AC7" s="23">
        <v>75</v>
      </c>
      <c r="AD7" s="23">
        <v>32</v>
      </c>
      <c r="AE7" s="23">
        <v>43</v>
      </c>
      <c r="AF7" s="23">
        <v>86</v>
      </c>
      <c r="AG7" s="23">
        <v>36</v>
      </c>
      <c r="AH7" s="23">
        <v>50</v>
      </c>
      <c r="AI7" s="23">
        <v>99</v>
      </c>
      <c r="AJ7" s="23">
        <v>50</v>
      </c>
      <c r="AK7" s="23">
        <v>49</v>
      </c>
      <c r="AL7" s="23">
        <v>116</v>
      </c>
      <c r="AM7" s="23">
        <v>62</v>
      </c>
      <c r="AN7" s="23">
        <v>54</v>
      </c>
      <c r="AO7" s="23">
        <v>82</v>
      </c>
      <c r="AP7" s="23">
        <v>43</v>
      </c>
      <c r="AQ7" s="23">
        <v>39</v>
      </c>
      <c r="AR7" s="23">
        <v>61</v>
      </c>
      <c r="AS7" s="23">
        <v>31</v>
      </c>
      <c r="AT7" s="23">
        <v>30</v>
      </c>
      <c r="AU7" s="23">
        <v>45</v>
      </c>
      <c r="AV7" s="23">
        <v>27</v>
      </c>
      <c r="AW7" s="23">
        <v>18</v>
      </c>
      <c r="AX7" s="23">
        <v>27</v>
      </c>
      <c r="AY7" s="23">
        <v>12</v>
      </c>
      <c r="AZ7" s="23">
        <v>15</v>
      </c>
      <c r="BA7" s="23">
        <v>19</v>
      </c>
      <c r="BB7" s="23">
        <v>10</v>
      </c>
      <c r="BC7" s="23">
        <v>9</v>
      </c>
      <c r="BD7" s="23">
        <v>10</v>
      </c>
      <c r="BE7" s="23">
        <v>5</v>
      </c>
      <c r="BF7" s="23">
        <v>5</v>
      </c>
      <c r="BG7" s="23">
        <v>5</v>
      </c>
      <c r="BH7" s="23">
        <v>1</v>
      </c>
      <c r="BI7" s="23">
        <v>4</v>
      </c>
      <c r="BJ7" s="23">
        <v>0</v>
      </c>
      <c r="BK7" s="23">
        <v>0</v>
      </c>
      <c r="BL7" s="23">
        <v>0</v>
      </c>
    </row>
    <row r="8" spans="1:64" ht="14.25" customHeight="1" x14ac:dyDescent="0.55000000000000004">
      <c r="A8" s="23">
        <v>5</v>
      </c>
      <c r="B8" s="23">
        <v>6347</v>
      </c>
      <c r="C8" s="21">
        <f t="shared" ref="C8:D8" si="4">SUM(F8,I8,L8,O8,R8,U8,X8,AA8,AD8,AG8,AJ8,AM8,AP8,AS8,AV8,AY8,BB8,BE8,BH8,BK8)</f>
        <v>2981</v>
      </c>
      <c r="D8" s="21">
        <f t="shared" si="4"/>
        <v>3366</v>
      </c>
      <c r="E8" s="23">
        <v>468</v>
      </c>
      <c r="F8" s="23">
        <v>255</v>
      </c>
      <c r="G8" s="23">
        <v>213</v>
      </c>
      <c r="H8" s="23">
        <v>451</v>
      </c>
      <c r="I8" s="23">
        <v>236</v>
      </c>
      <c r="J8" s="23">
        <v>215</v>
      </c>
      <c r="K8" s="23">
        <v>506</v>
      </c>
      <c r="L8" s="23">
        <v>270</v>
      </c>
      <c r="M8" s="23">
        <v>236</v>
      </c>
      <c r="N8" s="23">
        <v>500</v>
      </c>
      <c r="O8" s="23">
        <v>262</v>
      </c>
      <c r="P8" s="23">
        <v>238</v>
      </c>
      <c r="Q8" s="23">
        <v>445</v>
      </c>
      <c r="R8" s="23">
        <v>197</v>
      </c>
      <c r="S8" s="23">
        <v>248</v>
      </c>
      <c r="T8" s="23">
        <v>474</v>
      </c>
      <c r="U8" s="23">
        <v>193</v>
      </c>
      <c r="V8" s="23">
        <v>281</v>
      </c>
      <c r="W8" s="23">
        <v>498</v>
      </c>
      <c r="X8" s="23">
        <v>217</v>
      </c>
      <c r="Y8" s="23">
        <v>281</v>
      </c>
      <c r="Z8" s="23">
        <v>431</v>
      </c>
      <c r="AA8" s="23">
        <v>182</v>
      </c>
      <c r="AB8" s="23">
        <v>249</v>
      </c>
      <c r="AC8" s="23">
        <v>395</v>
      </c>
      <c r="AD8" s="23">
        <v>167</v>
      </c>
      <c r="AE8" s="23">
        <v>228</v>
      </c>
      <c r="AF8" s="23">
        <v>383</v>
      </c>
      <c r="AG8" s="23">
        <v>183</v>
      </c>
      <c r="AH8" s="23">
        <v>200</v>
      </c>
      <c r="AI8" s="23">
        <v>364</v>
      </c>
      <c r="AJ8" s="23">
        <v>170</v>
      </c>
      <c r="AK8" s="23">
        <v>194</v>
      </c>
      <c r="AL8" s="23">
        <v>346</v>
      </c>
      <c r="AM8" s="23">
        <v>167</v>
      </c>
      <c r="AN8" s="23">
        <v>179</v>
      </c>
      <c r="AO8" s="23">
        <v>282</v>
      </c>
      <c r="AP8" s="23">
        <v>136</v>
      </c>
      <c r="AQ8" s="23">
        <v>146</v>
      </c>
      <c r="AR8" s="23">
        <v>245</v>
      </c>
      <c r="AS8" s="23">
        <v>109</v>
      </c>
      <c r="AT8" s="23">
        <v>136</v>
      </c>
      <c r="AU8" s="23">
        <v>224</v>
      </c>
      <c r="AV8" s="23">
        <v>93</v>
      </c>
      <c r="AW8" s="23">
        <v>131</v>
      </c>
      <c r="AX8" s="23">
        <v>164</v>
      </c>
      <c r="AY8" s="23">
        <v>75</v>
      </c>
      <c r="AZ8" s="23">
        <v>89</v>
      </c>
      <c r="BA8" s="23">
        <v>100</v>
      </c>
      <c r="BB8" s="23">
        <v>43</v>
      </c>
      <c r="BC8" s="23">
        <v>57</v>
      </c>
      <c r="BD8" s="23">
        <v>45</v>
      </c>
      <c r="BE8" s="23">
        <v>17</v>
      </c>
      <c r="BF8" s="23">
        <v>28</v>
      </c>
      <c r="BG8" s="23">
        <v>19</v>
      </c>
      <c r="BH8" s="23">
        <v>7</v>
      </c>
      <c r="BI8" s="23">
        <v>12</v>
      </c>
      <c r="BJ8" s="23">
        <v>7</v>
      </c>
      <c r="BK8" s="23">
        <v>2</v>
      </c>
      <c r="BL8" s="23">
        <v>5</v>
      </c>
    </row>
    <row r="9" spans="1:64" ht="14.25" customHeight="1" x14ac:dyDescent="0.55000000000000004"/>
    <row r="10" spans="1:64" ht="14.25" customHeight="1" x14ac:dyDescent="0.55000000000000004">
      <c r="A10" s="23" t="s">
        <v>143</v>
      </c>
      <c r="B10" s="23">
        <f t="shared" ref="B10:D10" si="5">SUM(B7:B8)</f>
        <v>7717</v>
      </c>
      <c r="C10" s="23">
        <f t="shared" si="5"/>
        <v>3646</v>
      </c>
      <c r="D10" s="23">
        <f t="shared" si="5"/>
        <v>4071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</row>
    <row r="11" spans="1:64" ht="14.25" customHeight="1" x14ac:dyDescent="0.55000000000000004"/>
    <row r="12" spans="1:64" ht="14.25" customHeight="1" x14ac:dyDescent="0.55000000000000004"/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5.68359375" customWidth="1"/>
    <col min="2" max="64" width="10" customWidth="1"/>
  </cols>
  <sheetData>
    <row r="1" spans="1:64" ht="14.25" customHeight="1" x14ac:dyDescent="0.6">
      <c r="A1" s="56" t="s">
        <v>141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3618</v>
      </c>
      <c r="C4" s="21">
        <f t="shared" ref="C4:D4" si="0">SUM(F4,I4,L4,O4,R4,U4,X4,AA4,AD4,AG4,AJ4,AM4,AP4,AS4,AV4,AY4,BB4,BE4,BH4,BK4)</f>
        <v>1646</v>
      </c>
      <c r="D4" s="21">
        <f t="shared" si="0"/>
        <v>1972</v>
      </c>
      <c r="E4" s="21">
        <v>231</v>
      </c>
      <c r="F4" s="21">
        <v>125</v>
      </c>
      <c r="G4" s="21">
        <v>106</v>
      </c>
      <c r="H4" s="21">
        <v>253</v>
      </c>
      <c r="I4" s="21">
        <v>135</v>
      </c>
      <c r="J4" s="21">
        <v>118</v>
      </c>
      <c r="K4" s="21">
        <v>310</v>
      </c>
      <c r="L4" s="21">
        <v>169</v>
      </c>
      <c r="M4" s="21">
        <v>141</v>
      </c>
      <c r="N4" s="21">
        <v>320</v>
      </c>
      <c r="O4" s="21">
        <v>149</v>
      </c>
      <c r="P4" s="21">
        <v>171</v>
      </c>
      <c r="Q4" s="21">
        <v>296</v>
      </c>
      <c r="R4" s="21">
        <v>135</v>
      </c>
      <c r="S4" s="21">
        <v>161</v>
      </c>
      <c r="T4" s="21">
        <v>263</v>
      </c>
      <c r="U4" s="21">
        <v>110</v>
      </c>
      <c r="V4" s="21">
        <v>153</v>
      </c>
      <c r="W4" s="21">
        <v>259</v>
      </c>
      <c r="X4" s="21">
        <v>88</v>
      </c>
      <c r="Y4" s="21">
        <v>171</v>
      </c>
      <c r="Z4" s="21">
        <v>257</v>
      </c>
      <c r="AA4" s="21">
        <v>81</v>
      </c>
      <c r="AB4" s="21">
        <v>176</v>
      </c>
      <c r="AC4" s="21">
        <v>271</v>
      </c>
      <c r="AD4" s="21">
        <v>111</v>
      </c>
      <c r="AE4" s="21">
        <v>160</v>
      </c>
      <c r="AF4" s="21">
        <v>258</v>
      </c>
      <c r="AG4" s="21">
        <v>115</v>
      </c>
      <c r="AH4" s="21">
        <v>143</v>
      </c>
      <c r="AI4" s="21">
        <v>231</v>
      </c>
      <c r="AJ4" s="21">
        <v>107</v>
      </c>
      <c r="AK4" s="21">
        <v>124</v>
      </c>
      <c r="AL4" s="21">
        <v>182</v>
      </c>
      <c r="AM4" s="21">
        <v>99</v>
      </c>
      <c r="AN4" s="21">
        <v>83</v>
      </c>
      <c r="AO4" s="21">
        <v>148</v>
      </c>
      <c r="AP4" s="21">
        <v>73</v>
      </c>
      <c r="AQ4" s="21">
        <v>75</v>
      </c>
      <c r="AR4" s="21">
        <v>124</v>
      </c>
      <c r="AS4" s="21">
        <v>56</v>
      </c>
      <c r="AT4" s="21">
        <v>68</v>
      </c>
      <c r="AU4" s="21">
        <v>100</v>
      </c>
      <c r="AV4" s="21">
        <v>40</v>
      </c>
      <c r="AW4" s="21">
        <v>60</v>
      </c>
      <c r="AX4" s="21">
        <v>70</v>
      </c>
      <c r="AY4" s="21">
        <v>34</v>
      </c>
      <c r="AZ4" s="21">
        <v>36</v>
      </c>
      <c r="BA4" s="21">
        <v>25</v>
      </c>
      <c r="BB4" s="21">
        <v>12</v>
      </c>
      <c r="BC4" s="21">
        <v>13</v>
      </c>
      <c r="BD4" s="21">
        <v>14</v>
      </c>
      <c r="BE4" s="21">
        <v>5</v>
      </c>
      <c r="BF4" s="21">
        <v>9</v>
      </c>
      <c r="BG4" s="21">
        <v>6</v>
      </c>
      <c r="BH4" s="21">
        <v>2</v>
      </c>
      <c r="BI4" s="21">
        <v>4</v>
      </c>
      <c r="BJ4" s="21">
        <v>0</v>
      </c>
      <c r="BK4" s="21">
        <v>0</v>
      </c>
      <c r="BL4" s="21">
        <v>0</v>
      </c>
    </row>
    <row r="5" spans="1:64" ht="14.25" customHeight="1" x14ac:dyDescent="0.55000000000000004">
      <c r="A5" s="21">
        <v>2</v>
      </c>
      <c r="B5" s="21">
        <v>3815</v>
      </c>
      <c r="C5" s="21">
        <f t="shared" ref="C5:D5" si="1">SUM(F5,I5,L5,O5,R5,U5,X5,AA5,AD5,AG5,AJ5,AM5,AP5,AS5,AV5,AY5,BB5,BE5,BH5,BK5)</f>
        <v>1775</v>
      </c>
      <c r="D5" s="21">
        <f t="shared" si="1"/>
        <v>2040</v>
      </c>
      <c r="E5" s="21">
        <v>250</v>
      </c>
      <c r="F5" s="21">
        <v>135</v>
      </c>
      <c r="G5" s="21">
        <v>115</v>
      </c>
      <c r="H5" s="21">
        <v>291</v>
      </c>
      <c r="I5" s="21">
        <v>163</v>
      </c>
      <c r="J5" s="21">
        <v>128</v>
      </c>
      <c r="K5" s="21">
        <v>312</v>
      </c>
      <c r="L5" s="21">
        <v>159</v>
      </c>
      <c r="M5" s="21">
        <v>153</v>
      </c>
      <c r="N5" s="21">
        <v>281</v>
      </c>
      <c r="O5" s="21">
        <v>134</v>
      </c>
      <c r="P5" s="21">
        <v>147</v>
      </c>
      <c r="Q5" s="21">
        <v>263</v>
      </c>
      <c r="R5" s="21">
        <v>120</v>
      </c>
      <c r="S5" s="21">
        <v>143</v>
      </c>
      <c r="T5" s="21">
        <v>307</v>
      </c>
      <c r="U5" s="21">
        <v>121</v>
      </c>
      <c r="V5" s="21">
        <v>186</v>
      </c>
      <c r="W5" s="21">
        <v>335</v>
      </c>
      <c r="X5" s="21">
        <v>126</v>
      </c>
      <c r="Y5" s="21">
        <v>209</v>
      </c>
      <c r="Z5" s="21">
        <v>296</v>
      </c>
      <c r="AA5" s="21">
        <v>122</v>
      </c>
      <c r="AB5" s="21">
        <v>174</v>
      </c>
      <c r="AC5" s="21">
        <v>257</v>
      </c>
      <c r="AD5" s="21">
        <v>112</v>
      </c>
      <c r="AE5" s="21">
        <v>145</v>
      </c>
      <c r="AF5" s="21">
        <v>256</v>
      </c>
      <c r="AG5" s="21">
        <v>125</v>
      </c>
      <c r="AH5" s="21">
        <v>131</v>
      </c>
      <c r="AI5" s="21">
        <v>229</v>
      </c>
      <c r="AJ5" s="21">
        <v>116</v>
      </c>
      <c r="AK5" s="21">
        <v>113</v>
      </c>
      <c r="AL5" s="21">
        <v>218</v>
      </c>
      <c r="AM5" s="21">
        <v>106</v>
      </c>
      <c r="AN5" s="21">
        <v>112</v>
      </c>
      <c r="AO5" s="21">
        <v>190</v>
      </c>
      <c r="AP5" s="21">
        <v>92</v>
      </c>
      <c r="AQ5" s="21">
        <v>98</v>
      </c>
      <c r="AR5" s="21">
        <v>140</v>
      </c>
      <c r="AS5" s="21">
        <v>58</v>
      </c>
      <c r="AT5" s="21">
        <v>82</v>
      </c>
      <c r="AU5" s="21">
        <v>101</v>
      </c>
      <c r="AV5" s="21">
        <v>46</v>
      </c>
      <c r="AW5" s="21">
        <v>55</v>
      </c>
      <c r="AX5" s="21">
        <v>57</v>
      </c>
      <c r="AY5" s="21">
        <v>30</v>
      </c>
      <c r="AZ5" s="21">
        <v>27</v>
      </c>
      <c r="BA5" s="21">
        <v>19</v>
      </c>
      <c r="BB5" s="21">
        <v>9</v>
      </c>
      <c r="BC5" s="21">
        <v>10</v>
      </c>
      <c r="BD5" s="21">
        <v>6</v>
      </c>
      <c r="BE5" s="21">
        <v>1</v>
      </c>
      <c r="BF5" s="21">
        <v>5</v>
      </c>
      <c r="BG5" s="21">
        <v>5</v>
      </c>
      <c r="BH5" s="21">
        <v>0</v>
      </c>
      <c r="BI5" s="21">
        <v>5</v>
      </c>
      <c r="BJ5" s="21">
        <v>2</v>
      </c>
      <c r="BK5" s="21">
        <v>0</v>
      </c>
      <c r="BL5" s="21">
        <v>2</v>
      </c>
    </row>
    <row r="6" spans="1:64" ht="14.25" customHeight="1" x14ac:dyDescent="0.55000000000000004">
      <c r="A6" s="21">
        <v>3</v>
      </c>
      <c r="B6" s="21">
        <v>9040</v>
      </c>
      <c r="C6" s="21">
        <f t="shared" ref="C6:D6" si="2">SUM(F6,I6,L6,O6,R6,U6,X6,AA6,AD6,AG6,AJ6,AM6,AP6,AS6,AV6,AY6,BB6,BE6,BH6,BK6)</f>
        <v>4124</v>
      </c>
      <c r="D6" s="21">
        <f t="shared" si="2"/>
        <v>4916</v>
      </c>
      <c r="E6" s="21">
        <v>641</v>
      </c>
      <c r="F6" s="21">
        <v>347</v>
      </c>
      <c r="G6" s="21">
        <v>294</v>
      </c>
      <c r="H6" s="21">
        <v>714</v>
      </c>
      <c r="I6" s="21">
        <v>381</v>
      </c>
      <c r="J6" s="21">
        <v>333</v>
      </c>
      <c r="K6" s="21">
        <v>894</v>
      </c>
      <c r="L6" s="21">
        <v>467</v>
      </c>
      <c r="M6" s="21">
        <v>427</v>
      </c>
      <c r="N6" s="21">
        <v>825</v>
      </c>
      <c r="O6" s="21">
        <v>421</v>
      </c>
      <c r="P6" s="21">
        <v>404</v>
      </c>
      <c r="Q6" s="21">
        <v>670</v>
      </c>
      <c r="R6" s="21">
        <v>288</v>
      </c>
      <c r="S6" s="21">
        <v>382</v>
      </c>
      <c r="T6" s="21">
        <v>638</v>
      </c>
      <c r="U6" s="21">
        <v>213</v>
      </c>
      <c r="V6" s="21">
        <v>425</v>
      </c>
      <c r="W6" s="21">
        <v>811</v>
      </c>
      <c r="X6" s="21">
        <v>260</v>
      </c>
      <c r="Y6" s="21">
        <v>551</v>
      </c>
      <c r="Z6" s="21">
        <v>873</v>
      </c>
      <c r="AA6" s="21">
        <v>308</v>
      </c>
      <c r="AB6" s="21">
        <v>565</v>
      </c>
      <c r="AC6" s="21">
        <v>753</v>
      </c>
      <c r="AD6" s="21">
        <v>309</v>
      </c>
      <c r="AE6" s="21">
        <v>444</v>
      </c>
      <c r="AF6" s="21">
        <v>598</v>
      </c>
      <c r="AG6" s="21">
        <v>301</v>
      </c>
      <c r="AH6" s="21">
        <v>297</v>
      </c>
      <c r="AI6" s="21">
        <v>447</v>
      </c>
      <c r="AJ6" s="21">
        <v>250</v>
      </c>
      <c r="AK6" s="21">
        <v>197</v>
      </c>
      <c r="AL6" s="21">
        <v>379</v>
      </c>
      <c r="AM6" s="21">
        <v>193</v>
      </c>
      <c r="AN6" s="21">
        <v>186</v>
      </c>
      <c r="AO6" s="21">
        <v>261</v>
      </c>
      <c r="AP6" s="21">
        <v>134</v>
      </c>
      <c r="AQ6" s="21">
        <v>127</v>
      </c>
      <c r="AR6" s="21">
        <v>216</v>
      </c>
      <c r="AS6" s="21">
        <v>108</v>
      </c>
      <c r="AT6" s="21">
        <v>108</v>
      </c>
      <c r="AU6" s="21">
        <v>153</v>
      </c>
      <c r="AV6" s="21">
        <v>70</v>
      </c>
      <c r="AW6" s="21">
        <v>83</v>
      </c>
      <c r="AX6" s="21">
        <v>98</v>
      </c>
      <c r="AY6" s="21">
        <v>43</v>
      </c>
      <c r="AZ6" s="21">
        <v>55</v>
      </c>
      <c r="BA6" s="21">
        <v>45</v>
      </c>
      <c r="BB6" s="21">
        <v>20</v>
      </c>
      <c r="BC6" s="21">
        <v>25</v>
      </c>
      <c r="BD6" s="21">
        <v>13</v>
      </c>
      <c r="BE6" s="21">
        <v>6</v>
      </c>
      <c r="BF6" s="21">
        <v>7</v>
      </c>
      <c r="BG6" s="21">
        <v>9</v>
      </c>
      <c r="BH6" s="21">
        <v>4</v>
      </c>
      <c r="BI6" s="21">
        <v>5</v>
      </c>
      <c r="BJ6" s="21">
        <v>2</v>
      </c>
      <c r="BK6" s="21">
        <v>1</v>
      </c>
      <c r="BL6" s="21">
        <v>1</v>
      </c>
    </row>
    <row r="7" spans="1:64" ht="14.25" customHeight="1" x14ac:dyDescent="0.55000000000000004">
      <c r="A7" s="21">
        <v>4</v>
      </c>
      <c r="B7" s="21">
        <v>1640</v>
      </c>
      <c r="C7" s="21">
        <f t="shared" ref="C7:D7" si="3">SUM(F7,I7,L7,O7,R7,U7,X7,AA7,AD7,AG7,AJ7,AM7,AP7,AS7,AV7,AY7,BB7,BE7,BH7,BK7)</f>
        <v>770</v>
      </c>
      <c r="D7" s="21">
        <f t="shared" si="3"/>
        <v>870</v>
      </c>
      <c r="E7" s="21">
        <v>107</v>
      </c>
      <c r="F7" s="21">
        <v>58</v>
      </c>
      <c r="G7" s="21">
        <v>49</v>
      </c>
      <c r="H7" s="21">
        <v>119</v>
      </c>
      <c r="I7" s="21">
        <v>69</v>
      </c>
      <c r="J7" s="21">
        <v>50</v>
      </c>
      <c r="K7" s="21">
        <v>125</v>
      </c>
      <c r="L7" s="21">
        <v>58</v>
      </c>
      <c r="M7" s="21">
        <v>67</v>
      </c>
      <c r="N7" s="21">
        <v>133</v>
      </c>
      <c r="O7" s="21">
        <v>67</v>
      </c>
      <c r="P7" s="21">
        <v>66</v>
      </c>
      <c r="Q7" s="21">
        <v>130</v>
      </c>
      <c r="R7" s="21">
        <v>55</v>
      </c>
      <c r="S7" s="21">
        <v>75</v>
      </c>
      <c r="T7" s="21">
        <v>133</v>
      </c>
      <c r="U7" s="21">
        <v>54</v>
      </c>
      <c r="V7" s="21">
        <v>79</v>
      </c>
      <c r="W7" s="21">
        <v>121</v>
      </c>
      <c r="X7" s="21">
        <v>46</v>
      </c>
      <c r="Y7" s="21">
        <v>75</v>
      </c>
      <c r="Z7" s="21">
        <v>99</v>
      </c>
      <c r="AA7" s="21">
        <v>45</v>
      </c>
      <c r="AB7" s="21">
        <v>54</v>
      </c>
      <c r="AC7" s="21">
        <v>100</v>
      </c>
      <c r="AD7" s="21">
        <v>43</v>
      </c>
      <c r="AE7" s="21">
        <v>57</v>
      </c>
      <c r="AF7" s="21">
        <v>93</v>
      </c>
      <c r="AG7" s="21">
        <v>42</v>
      </c>
      <c r="AH7" s="21">
        <v>51</v>
      </c>
      <c r="AI7" s="21">
        <v>102</v>
      </c>
      <c r="AJ7" s="21">
        <v>46</v>
      </c>
      <c r="AK7" s="21">
        <v>56</v>
      </c>
      <c r="AL7" s="21">
        <v>94</v>
      </c>
      <c r="AM7" s="21">
        <v>42</v>
      </c>
      <c r="AN7" s="21">
        <v>52</v>
      </c>
      <c r="AO7" s="21">
        <v>83</v>
      </c>
      <c r="AP7" s="21">
        <v>42</v>
      </c>
      <c r="AQ7" s="21">
        <v>41</v>
      </c>
      <c r="AR7" s="21">
        <v>76</v>
      </c>
      <c r="AS7" s="21">
        <v>36</v>
      </c>
      <c r="AT7" s="21">
        <v>40</v>
      </c>
      <c r="AU7" s="21">
        <v>64</v>
      </c>
      <c r="AV7" s="21">
        <v>34</v>
      </c>
      <c r="AW7" s="21">
        <v>30</v>
      </c>
      <c r="AX7" s="21">
        <v>40</v>
      </c>
      <c r="AY7" s="21">
        <v>21</v>
      </c>
      <c r="AZ7" s="21">
        <v>19</v>
      </c>
      <c r="BA7" s="21">
        <v>20</v>
      </c>
      <c r="BB7" s="21">
        <v>11</v>
      </c>
      <c r="BC7" s="21">
        <v>9</v>
      </c>
      <c r="BD7" s="21">
        <v>1</v>
      </c>
      <c r="BE7" s="21">
        <v>1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</row>
    <row r="8" spans="1:64" ht="14.25" customHeight="1" x14ac:dyDescent="0.55000000000000004">
      <c r="A8" s="21">
        <v>5</v>
      </c>
      <c r="B8" s="21">
        <v>1402</v>
      </c>
      <c r="C8" s="21">
        <f t="shared" ref="C8:D8" si="4">SUM(F8,I8,L8,O8,R8,U8,X8,AA8,AD8,AG8,AJ8,AM8,AP8,AS8,AV8,AY8,BB8,BE8,BH8,BK8)</f>
        <v>670</v>
      </c>
      <c r="D8" s="21">
        <f t="shared" si="4"/>
        <v>732</v>
      </c>
      <c r="E8" s="21">
        <v>80</v>
      </c>
      <c r="F8" s="21">
        <v>45</v>
      </c>
      <c r="G8" s="21">
        <v>35</v>
      </c>
      <c r="H8" s="21">
        <v>133</v>
      </c>
      <c r="I8" s="21">
        <v>70</v>
      </c>
      <c r="J8" s="21">
        <v>63</v>
      </c>
      <c r="K8" s="21">
        <v>108</v>
      </c>
      <c r="L8" s="21">
        <v>52</v>
      </c>
      <c r="M8" s="21">
        <v>56</v>
      </c>
      <c r="N8" s="21">
        <v>114</v>
      </c>
      <c r="O8" s="21">
        <v>57</v>
      </c>
      <c r="P8" s="21">
        <v>57</v>
      </c>
      <c r="Q8" s="21">
        <v>100</v>
      </c>
      <c r="R8" s="21">
        <v>40</v>
      </c>
      <c r="S8" s="21">
        <v>60</v>
      </c>
      <c r="T8" s="21">
        <v>115</v>
      </c>
      <c r="U8" s="21">
        <v>51</v>
      </c>
      <c r="V8" s="21">
        <v>64</v>
      </c>
      <c r="W8" s="21">
        <v>94</v>
      </c>
      <c r="X8" s="21">
        <v>47</v>
      </c>
      <c r="Y8" s="21">
        <v>47</v>
      </c>
      <c r="Z8" s="21">
        <v>68</v>
      </c>
      <c r="AA8" s="21">
        <v>32</v>
      </c>
      <c r="AB8" s="21">
        <v>36</v>
      </c>
      <c r="AC8" s="21">
        <v>71</v>
      </c>
      <c r="AD8" s="21">
        <v>27</v>
      </c>
      <c r="AE8" s="21">
        <v>44</v>
      </c>
      <c r="AF8" s="21">
        <v>73</v>
      </c>
      <c r="AG8" s="21">
        <v>31</v>
      </c>
      <c r="AH8" s="21">
        <v>42</v>
      </c>
      <c r="AI8" s="21">
        <v>85</v>
      </c>
      <c r="AJ8" s="21">
        <v>46</v>
      </c>
      <c r="AK8" s="21">
        <v>39</v>
      </c>
      <c r="AL8" s="21">
        <v>95</v>
      </c>
      <c r="AM8" s="21">
        <v>49</v>
      </c>
      <c r="AN8" s="21">
        <v>46</v>
      </c>
      <c r="AO8" s="21">
        <v>79</v>
      </c>
      <c r="AP8" s="21">
        <v>34</v>
      </c>
      <c r="AQ8" s="21">
        <v>45</v>
      </c>
      <c r="AR8" s="21">
        <v>67</v>
      </c>
      <c r="AS8" s="21">
        <v>36</v>
      </c>
      <c r="AT8" s="21">
        <v>31</v>
      </c>
      <c r="AU8" s="21">
        <v>56</v>
      </c>
      <c r="AV8" s="21">
        <v>23</v>
      </c>
      <c r="AW8" s="21">
        <v>33</v>
      </c>
      <c r="AX8" s="21">
        <v>37</v>
      </c>
      <c r="AY8" s="21">
        <v>16</v>
      </c>
      <c r="AZ8" s="21">
        <v>21</v>
      </c>
      <c r="BA8" s="21">
        <v>11</v>
      </c>
      <c r="BB8" s="21">
        <v>6</v>
      </c>
      <c r="BC8" s="21">
        <v>5</v>
      </c>
      <c r="BD8" s="21">
        <v>10</v>
      </c>
      <c r="BE8" s="21">
        <v>5</v>
      </c>
      <c r="BF8" s="21">
        <v>5</v>
      </c>
      <c r="BG8" s="21">
        <v>6</v>
      </c>
      <c r="BH8" s="21">
        <v>3</v>
      </c>
      <c r="BI8" s="21">
        <v>3</v>
      </c>
      <c r="BJ8" s="21">
        <v>0</v>
      </c>
      <c r="BK8" s="21">
        <v>0</v>
      </c>
      <c r="BL8" s="21">
        <v>0</v>
      </c>
    </row>
    <row r="9" spans="1:64" ht="14.25" customHeight="1" x14ac:dyDescent="0.55000000000000004">
      <c r="A9" s="21">
        <v>6</v>
      </c>
      <c r="B9" s="21">
        <v>1519</v>
      </c>
      <c r="C9" s="21">
        <f t="shared" ref="C9:D9" si="5">SUM(F9,I9,L9,O9,R9,U9,X9,AA9,AD9,AG9,AJ9,AM9,AP9,AS9,AV9,AY9,BB9,BE9,BH9,BK9)</f>
        <v>689</v>
      </c>
      <c r="D9" s="21">
        <f t="shared" si="5"/>
        <v>830</v>
      </c>
      <c r="E9" s="21">
        <v>85</v>
      </c>
      <c r="F9" s="21">
        <v>45</v>
      </c>
      <c r="G9" s="21">
        <v>40</v>
      </c>
      <c r="H9" s="21">
        <v>116</v>
      </c>
      <c r="I9" s="21">
        <v>57</v>
      </c>
      <c r="J9" s="21">
        <v>59</v>
      </c>
      <c r="K9" s="21">
        <v>108</v>
      </c>
      <c r="L9" s="21">
        <v>53</v>
      </c>
      <c r="M9" s="21">
        <v>55</v>
      </c>
      <c r="N9" s="21">
        <v>146</v>
      </c>
      <c r="O9" s="21">
        <v>73</v>
      </c>
      <c r="P9" s="21">
        <v>73</v>
      </c>
      <c r="Q9" s="21">
        <v>118</v>
      </c>
      <c r="R9" s="21">
        <v>46</v>
      </c>
      <c r="S9" s="21">
        <v>72</v>
      </c>
      <c r="T9" s="21">
        <v>88</v>
      </c>
      <c r="U9" s="21">
        <v>31</v>
      </c>
      <c r="V9" s="21">
        <v>57</v>
      </c>
      <c r="W9" s="21">
        <v>87</v>
      </c>
      <c r="X9" s="21">
        <v>39</v>
      </c>
      <c r="Y9" s="21">
        <v>48</v>
      </c>
      <c r="Z9" s="21">
        <v>88</v>
      </c>
      <c r="AA9" s="21">
        <v>38</v>
      </c>
      <c r="AB9" s="21">
        <v>50</v>
      </c>
      <c r="AC9" s="21">
        <v>80</v>
      </c>
      <c r="AD9" s="21">
        <v>37</v>
      </c>
      <c r="AE9" s="21">
        <v>43</v>
      </c>
      <c r="AF9" s="21">
        <v>81</v>
      </c>
      <c r="AG9" s="21">
        <v>35</v>
      </c>
      <c r="AH9" s="21">
        <v>46</v>
      </c>
      <c r="AI9" s="21">
        <v>102</v>
      </c>
      <c r="AJ9" s="21">
        <v>44</v>
      </c>
      <c r="AK9" s="21">
        <v>58</v>
      </c>
      <c r="AL9" s="21">
        <v>115</v>
      </c>
      <c r="AM9" s="21">
        <v>54</v>
      </c>
      <c r="AN9" s="21">
        <v>61</v>
      </c>
      <c r="AO9" s="21">
        <v>98</v>
      </c>
      <c r="AP9" s="21">
        <v>43</v>
      </c>
      <c r="AQ9" s="21">
        <v>55</v>
      </c>
      <c r="AR9" s="21">
        <v>77</v>
      </c>
      <c r="AS9" s="21">
        <v>38</v>
      </c>
      <c r="AT9" s="21">
        <v>39</v>
      </c>
      <c r="AU9" s="21">
        <v>57</v>
      </c>
      <c r="AV9" s="21">
        <v>29</v>
      </c>
      <c r="AW9" s="21">
        <v>28</v>
      </c>
      <c r="AX9" s="21">
        <v>40</v>
      </c>
      <c r="AY9" s="21">
        <v>16</v>
      </c>
      <c r="AZ9" s="21">
        <v>24</v>
      </c>
      <c r="BA9" s="21">
        <v>21</v>
      </c>
      <c r="BB9" s="21">
        <v>8</v>
      </c>
      <c r="BC9" s="21">
        <v>13</v>
      </c>
      <c r="BD9" s="21">
        <v>9</v>
      </c>
      <c r="BE9" s="21">
        <v>3</v>
      </c>
      <c r="BF9" s="21">
        <v>6</v>
      </c>
      <c r="BG9" s="21">
        <v>3</v>
      </c>
      <c r="BH9" s="21">
        <v>0</v>
      </c>
      <c r="BI9" s="21">
        <v>3</v>
      </c>
      <c r="BJ9" s="21">
        <v>0</v>
      </c>
      <c r="BK9" s="21">
        <v>0</v>
      </c>
      <c r="BL9" s="21">
        <v>0</v>
      </c>
    </row>
    <row r="10" spans="1:64" ht="14.25" customHeight="1" x14ac:dyDescent="0.55000000000000004"/>
    <row r="11" spans="1:64" ht="14.25" customHeight="1" x14ac:dyDescent="0.55000000000000004">
      <c r="A11" s="23" t="s">
        <v>144</v>
      </c>
      <c r="B11" s="23">
        <f t="shared" ref="B11:D11" si="6">SUM(B7:B8)</f>
        <v>3042</v>
      </c>
      <c r="C11" s="23">
        <f t="shared" si="6"/>
        <v>1440</v>
      </c>
      <c r="D11" s="23">
        <f t="shared" si="6"/>
        <v>1602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</row>
    <row r="12" spans="1:64" ht="14.25" customHeight="1" x14ac:dyDescent="0.55000000000000004"/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L1000"/>
  <sheetViews>
    <sheetView workbookViewId="0">
      <selection sqref="A1:BK1"/>
    </sheetView>
  </sheetViews>
  <sheetFormatPr defaultColWidth="14.41796875" defaultRowHeight="15" customHeight="1" x14ac:dyDescent="0.55000000000000004"/>
  <cols>
    <col min="1" max="1" width="14.578125" customWidth="1"/>
    <col min="2" max="64" width="10" customWidth="1"/>
  </cols>
  <sheetData>
    <row r="1" spans="1:64" ht="14.25" customHeight="1" x14ac:dyDescent="0.6">
      <c r="A1" s="56" t="s">
        <v>142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12</v>
      </c>
      <c r="C2" s="6" t="s">
        <v>12</v>
      </c>
      <c r="D2" s="6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55"/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1859</v>
      </c>
      <c r="C4" s="21">
        <f t="shared" ref="C4:D4" si="0">SUM(F4,I4,L4,O4,R4,U4,X4,AA4,AD4,AG4,AJ4,AM4,AP4,AS4,AV4,AY4,BB4,BE4,BH4,BK4)</f>
        <v>841</v>
      </c>
      <c r="D4" s="21">
        <f t="shared" si="0"/>
        <v>1018</v>
      </c>
      <c r="E4" s="21">
        <v>106</v>
      </c>
      <c r="F4" s="21">
        <v>57</v>
      </c>
      <c r="G4" s="21">
        <v>49</v>
      </c>
      <c r="H4" s="21">
        <v>110</v>
      </c>
      <c r="I4" s="21">
        <v>55</v>
      </c>
      <c r="J4" s="21">
        <v>55</v>
      </c>
      <c r="K4" s="21">
        <v>97</v>
      </c>
      <c r="L4" s="21">
        <v>52</v>
      </c>
      <c r="M4" s="21">
        <v>45</v>
      </c>
      <c r="N4" s="21">
        <v>106</v>
      </c>
      <c r="O4" s="21">
        <v>61</v>
      </c>
      <c r="P4" s="21">
        <v>45</v>
      </c>
      <c r="Q4" s="21">
        <v>95</v>
      </c>
      <c r="R4" s="21">
        <v>39</v>
      </c>
      <c r="S4" s="21">
        <v>56</v>
      </c>
      <c r="T4" s="21">
        <v>107</v>
      </c>
      <c r="U4" s="21">
        <v>34</v>
      </c>
      <c r="V4" s="21">
        <v>73</v>
      </c>
      <c r="W4" s="21">
        <v>92</v>
      </c>
      <c r="X4" s="21">
        <v>37</v>
      </c>
      <c r="Y4" s="21">
        <v>55</v>
      </c>
      <c r="Z4" s="21">
        <v>80</v>
      </c>
      <c r="AA4" s="21">
        <v>29</v>
      </c>
      <c r="AB4" s="21">
        <v>51</v>
      </c>
      <c r="AC4" s="21">
        <v>97</v>
      </c>
      <c r="AD4" s="21">
        <v>40</v>
      </c>
      <c r="AE4" s="21">
        <v>57</v>
      </c>
      <c r="AF4" s="21">
        <v>111</v>
      </c>
      <c r="AG4" s="21">
        <v>47</v>
      </c>
      <c r="AH4" s="21">
        <v>64</v>
      </c>
      <c r="AI4" s="21">
        <v>136</v>
      </c>
      <c r="AJ4" s="21">
        <v>62</v>
      </c>
      <c r="AK4" s="21">
        <v>74</v>
      </c>
      <c r="AL4" s="21">
        <v>161</v>
      </c>
      <c r="AM4" s="21">
        <v>68</v>
      </c>
      <c r="AN4" s="21">
        <v>93</v>
      </c>
      <c r="AO4" s="21">
        <v>157</v>
      </c>
      <c r="AP4" s="21">
        <v>68</v>
      </c>
      <c r="AQ4" s="21">
        <v>89</v>
      </c>
      <c r="AR4" s="21">
        <v>139</v>
      </c>
      <c r="AS4" s="21">
        <v>66</v>
      </c>
      <c r="AT4" s="21">
        <v>73</v>
      </c>
      <c r="AU4" s="21">
        <v>121</v>
      </c>
      <c r="AV4" s="21">
        <v>57</v>
      </c>
      <c r="AW4" s="21">
        <v>64</v>
      </c>
      <c r="AX4" s="21">
        <v>77</v>
      </c>
      <c r="AY4" s="21">
        <v>39</v>
      </c>
      <c r="AZ4" s="21">
        <v>38</v>
      </c>
      <c r="BA4" s="21">
        <v>43</v>
      </c>
      <c r="BB4" s="21">
        <v>20</v>
      </c>
      <c r="BC4" s="21">
        <v>23</v>
      </c>
      <c r="BD4" s="21">
        <v>15</v>
      </c>
      <c r="BE4" s="21">
        <v>7</v>
      </c>
      <c r="BF4" s="21">
        <v>8</v>
      </c>
      <c r="BG4" s="21">
        <v>8</v>
      </c>
      <c r="BH4" s="21">
        <v>3</v>
      </c>
      <c r="BI4" s="21">
        <v>5</v>
      </c>
      <c r="BJ4" s="21">
        <v>1</v>
      </c>
      <c r="BK4" s="21">
        <v>0</v>
      </c>
      <c r="BL4" s="21">
        <v>1</v>
      </c>
    </row>
    <row r="5" spans="1:64" ht="14.25" customHeight="1" x14ac:dyDescent="0.55000000000000004">
      <c r="A5" s="23">
        <v>2</v>
      </c>
      <c r="B5" s="23">
        <v>2330</v>
      </c>
      <c r="C5" s="23">
        <f t="shared" ref="C5:D5" si="1">SUM(F5,I5,L5,O5,R5,U5,X5,AA5,AD5,AG5,AJ5,AM5,AP5,AS5,AV5,AY5,BB5,BE5,BH5,BK5)</f>
        <v>1047</v>
      </c>
      <c r="D5" s="23">
        <f t="shared" si="1"/>
        <v>1283</v>
      </c>
      <c r="E5" s="23">
        <v>176</v>
      </c>
      <c r="F5" s="23">
        <v>93</v>
      </c>
      <c r="G5" s="23">
        <v>83</v>
      </c>
      <c r="H5" s="23">
        <v>163</v>
      </c>
      <c r="I5" s="23">
        <v>91</v>
      </c>
      <c r="J5" s="23">
        <v>72</v>
      </c>
      <c r="K5" s="23">
        <v>175</v>
      </c>
      <c r="L5" s="23">
        <v>88</v>
      </c>
      <c r="M5" s="23">
        <v>87</v>
      </c>
      <c r="N5" s="23">
        <v>153</v>
      </c>
      <c r="O5" s="23">
        <v>70</v>
      </c>
      <c r="P5" s="23">
        <v>83</v>
      </c>
      <c r="Q5" s="23">
        <v>150</v>
      </c>
      <c r="R5" s="23">
        <v>60</v>
      </c>
      <c r="S5" s="23">
        <v>90</v>
      </c>
      <c r="T5" s="23">
        <v>168</v>
      </c>
      <c r="U5" s="23">
        <v>58</v>
      </c>
      <c r="V5" s="23">
        <v>110</v>
      </c>
      <c r="W5" s="23">
        <v>170</v>
      </c>
      <c r="X5" s="23">
        <v>56</v>
      </c>
      <c r="Y5" s="23">
        <v>114</v>
      </c>
      <c r="Z5" s="23">
        <v>163</v>
      </c>
      <c r="AA5" s="23">
        <v>68</v>
      </c>
      <c r="AB5" s="23">
        <v>95</v>
      </c>
      <c r="AC5" s="23">
        <v>157</v>
      </c>
      <c r="AD5" s="23">
        <v>62</v>
      </c>
      <c r="AE5" s="23">
        <v>95</v>
      </c>
      <c r="AF5" s="23">
        <v>148</v>
      </c>
      <c r="AG5" s="23">
        <v>67</v>
      </c>
      <c r="AH5" s="23">
        <v>81</v>
      </c>
      <c r="AI5" s="23">
        <v>137</v>
      </c>
      <c r="AJ5" s="23">
        <v>64</v>
      </c>
      <c r="AK5" s="23">
        <v>73</v>
      </c>
      <c r="AL5" s="23">
        <v>154</v>
      </c>
      <c r="AM5" s="23">
        <v>72</v>
      </c>
      <c r="AN5" s="23">
        <v>82</v>
      </c>
      <c r="AO5" s="23">
        <v>126</v>
      </c>
      <c r="AP5" s="23">
        <v>64</v>
      </c>
      <c r="AQ5" s="23">
        <v>62</v>
      </c>
      <c r="AR5" s="23">
        <v>108</v>
      </c>
      <c r="AS5" s="23">
        <v>51</v>
      </c>
      <c r="AT5" s="23">
        <v>57</v>
      </c>
      <c r="AU5" s="23">
        <v>72</v>
      </c>
      <c r="AV5" s="23">
        <v>38</v>
      </c>
      <c r="AW5" s="23">
        <v>34</v>
      </c>
      <c r="AX5" s="23">
        <v>58</v>
      </c>
      <c r="AY5" s="23">
        <v>24</v>
      </c>
      <c r="AZ5" s="23">
        <v>34</v>
      </c>
      <c r="BA5" s="23">
        <v>29</v>
      </c>
      <c r="BB5" s="23">
        <v>12</v>
      </c>
      <c r="BC5" s="23">
        <v>17</v>
      </c>
      <c r="BD5" s="23">
        <v>14</v>
      </c>
      <c r="BE5" s="23">
        <v>7</v>
      </c>
      <c r="BF5" s="23">
        <v>7</v>
      </c>
      <c r="BG5" s="23">
        <v>8</v>
      </c>
      <c r="BH5" s="23">
        <v>2</v>
      </c>
      <c r="BI5" s="23">
        <v>6</v>
      </c>
      <c r="BJ5" s="23">
        <v>1</v>
      </c>
      <c r="BK5" s="23">
        <v>0</v>
      </c>
      <c r="BL5" s="23">
        <v>1</v>
      </c>
    </row>
    <row r="6" spans="1:64" ht="14.25" customHeight="1" x14ac:dyDescent="0.55000000000000004">
      <c r="A6" s="23">
        <v>3</v>
      </c>
      <c r="B6" s="23">
        <v>2996</v>
      </c>
      <c r="C6" s="23">
        <f t="shared" ref="C6:D6" si="2">SUM(F6,I6,L6,O6,R6,U6,X6,AA6,AD6,AG6,AJ6,AM6,AP6,AS6,AV6,AY6,BB6,BE6,BH6,BK6)</f>
        <v>1372</v>
      </c>
      <c r="D6" s="23">
        <f t="shared" si="2"/>
        <v>1624</v>
      </c>
      <c r="E6" s="23">
        <v>205</v>
      </c>
      <c r="F6" s="23">
        <v>109</v>
      </c>
      <c r="G6" s="23">
        <v>96</v>
      </c>
      <c r="H6" s="23">
        <v>218</v>
      </c>
      <c r="I6" s="23">
        <v>119</v>
      </c>
      <c r="J6" s="23">
        <v>99</v>
      </c>
      <c r="K6" s="23">
        <v>246</v>
      </c>
      <c r="L6" s="23">
        <v>117</v>
      </c>
      <c r="M6" s="23">
        <v>129</v>
      </c>
      <c r="N6" s="23">
        <v>203</v>
      </c>
      <c r="O6" s="23">
        <v>86</v>
      </c>
      <c r="P6" s="23">
        <v>117</v>
      </c>
      <c r="Q6" s="23">
        <v>178</v>
      </c>
      <c r="R6" s="23">
        <v>81</v>
      </c>
      <c r="S6" s="23">
        <v>97</v>
      </c>
      <c r="T6" s="23">
        <v>213</v>
      </c>
      <c r="U6" s="23">
        <v>83</v>
      </c>
      <c r="V6" s="23">
        <v>130</v>
      </c>
      <c r="W6" s="23">
        <v>212</v>
      </c>
      <c r="X6" s="23">
        <v>82</v>
      </c>
      <c r="Y6" s="23">
        <v>130</v>
      </c>
      <c r="Z6" s="23">
        <v>220</v>
      </c>
      <c r="AA6" s="23">
        <v>83</v>
      </c>
      <c r="AB6" s="23">
        <v>137</v>
      </c>
      <c r="AC6" s="23">
        <v>211</v>
      </c>
      <c r="AD6" s="23">
        <v>92</v>
      </c>
      <c r="AE6" s="23">
        <v>119</v>
      </c>
      <c r="AF6" s="23">
        <v>181</v>
      </c>
      <c r="AG6" s="23">
        <v>82</v>
      </c>
      <c r="AH6" s="23">
        <v>99</v>
      </c>
      <c r="AI6" s="23">
        <v>156</v>
      </c>
      <c r="AJ6" s="23">
        <v>74</v>
      </c>
      <c r="AK6" s="23">
        <v>82</v>
      </c>
      <c r="AL6" s="23">
        <v>178</v>
      </c>
      <c r="AM6" s="23">
        <v>93</v>
      </c>
      <c r="AN6" s="23">
        <v>85</v>
      </c>
      <c r="AO6" s="23">
        <v>170</v>
      </c>
      <c r="AP6" s="23">
        <v>81</v>
      </c>
      <c r="AQ6" s="23">
        <v>89</v>
      </c>
      <c r="AR6" s="23">
        <v>145</v>
      </c>
      <c r="AS6" s="23">
        <v>63</v>
      </c>
      <c r="AT6" s="23">
        <v>82</v>
      </c>
      <c r="AU6" s="23">
        <v>113</v>
      </c>
      <c r="AV6" s="23">
        <v>56</v>
      </c>
      <c r="AW6" s="23">
        <v>57</v>
      </c>
      <c r="AX6" s="23">
        <v>78</v>
      </c>
      <c r="AY6" s="23">
        <v>37</v>
      </c>
      <c r="AZ6" s="23">
        <v>41</v>
      </c>
      <c r="BA6" s="23">
        <v>38</v>
      </c>
      <c r="BB6" s="23">
        <v>17</v>
      </c>
      <c r="BC6" s="23">
        <v>21</v>
      </c>
      <c r="BD6" s="23">
        <v>18</v>
      </c>
      <c r="BE6" s="23">
        <v>10</v>
      </c>
      <c r="BF6" s="23">
        <v>8</v>
      </c>
      <c r="BG6" s="23">
        <v>12</v>
      </c>
      <c r="BH6" s="23">
        <v>7</v>
      </c>
      <c r="BI6" s="23">
        <v>5</v>
      </c>
      <c r="BJ6" s="23">
        <v>1</v>
      </c>
      <c r="BK6" s="23">
        <v>0</v>
      </c>
      <c r="BL6" s="23">
        <v>1</v>
      </c>
    </row>
    <row r="7" spans="1:64" ht="14.25" customHeight="1" x14ac:dyDescent="0.55000000000000004">
      <c r="A7" s="21">
        <v>4</v>
      </c>
      <c r="B7" s="21">
        <v>2310</v>
      </c>
      <c r="C7" s="21">
        <f t="shared" ref="C7:D7" si="3">SUM(F7,I7,L7,O7,R7,U7,X7,AA7,AD7,AG7,AJ7,AM7,AP7,AS7,AV7,AY7,BB7,BE7,BH7,BK7)</f>
        <v>1004</v>
      </c>
      <c r="D7" s="21">
        <f t="shared" si="3"/>
        <v>1306</v>
      </c>
      <c r="E7" s="21">
        <v>165</v>
      </c>
      <c r="F7" s="21">
        <v>88</v>
      </c>
      <c r="G7" s="21">
        <v>77</v>
      </c>
      <c r="H7" s="21">
        <v>205</v>
      </c>
      <c r="I7" s="21">
        <v>94</v>
      </c>
      <c r="J7" s="21">
        <v>111</v>
      </c>
      <c r="K7" s="21">
        <v>194</v>
      </c>
      <c r="L7" s="21">
        <v>95</v>
      </c>
      <c r="M7" s="21">
        <v>99</v>
      </c>
      <c r="N7" s="21">
        <v>194</v>
      </c>
      <c r="O7" s="21">
        <v>91</v>
      </c>
      <c r="P7" s="21">
        <v>103</v>
      </c>
      <c r="Q7" s="21">
        <v>161</v>
      </c>
      <c r="R7" s="21">
        <v>60</v>
      </c>
      <c r="S7" s="21">
        <v>101</v>
      </c>
      <c r="T7" s="21">
        <v>147</v>
      </c>
      <c r="U7" s="21">
        <v>46</v>
      </c>
      <c r="V7" s="21">
        <v>101</v>
      </c>
      <c r="W7" s="21">
        <v>125</v>
      </c>
      <c r="X7" s="21">
        <v>40</v>
      </c>
      <c r="Y7" s="21">
        <v>85</v>
      </c>
      <c r="Z7" s="21">
        <v>150</v>
      </c>
      <c r="AA7" s="21">
        <v>49</v>
      </c>
      <c r="AB7" s="21">
        <v>101</v>
      </c>
      <c r="AC7" s="21">
        <v>139</v>
      </c>
      <c r="AD7" s="21">
        <v>62</v>
      </c>
      <c r="AE7" s="21">
        <v>77</v>
      </c>
      <c r="AF7" s="21">
        <v>137</v>
      </c>
      <c r="AG7" s="21">
        <v>55</v>
      </c>
      <c r="AH7" s="21">
        <v>82</v>
      </c>
      <c r="AI7" s="21">
        <v>132</v>
      </c>
      <c r="AJ7" s="21">
        <v>58</v>
      </c>
      <c r="AK7" s="21">
        <v>74</v>
      </c>
      <c r="AL7" s="21">
        <v>133</v>
      </c>
      <c r="AM7" s="21">
        <v>62</v>
      </c>
      <c r="AN7" s="21">
        <v>71</v>
      </c>
      <c r="AO7" s="21">
        <v>129</v>
      </c>
      <c r="AP7" s="21">
        <v>61</v>
      </c>
      <c r="AQ7" s="21">
        <v>68</v>
      </c>
      <c r="AR7" s="21">
        <v>104</v>
      </c>
      <c r="AS7" s="21">
        <v>48</v>
      </c>
      <c r="AT7" s="21">
        <v>56</v>
      </c>
      <c r="AU7" s="21">
        <v>79</v>
      </c>
      <c r="AV7" s="21">
        <v>36</v>
      </c>
      <c r="AW7" s="21">
        <v>43</v>
      </c>
      <c r="AX7" s="21">
        <v>66</v>
      </c>
      <c r="AY7" s="21">
        <v>31</v>
      </c>
      <c r="AZ7" s="21">
        <v>35</v>
      </c>
      <c r="BA7" s="21">
        <v>37</v>
      </c>
      <c r="BB7" s="21">
        <v>19</v>
      </c>
      <c r="BC7" s="21">
        <v>18</v>
      </c>
      <c r="BD7" s="21">
        <v>10</v>
      </c>
      <c r="BE7" s="21">
        <v>7</v>
      </c>
      <c r="BF7" s="21">
        <v>3</v>
      </c>
      <c r="BG7" s="21">
        <v>2</v>
      </c>
      <c r="BH7" s="21">
        <v>2</v>
      </c>
      <c r="BI7" s="21">
        <v>0</v>
      </c>
      <c r="BJ7" s="21">
        <v>1</v>
      </c>
      <c r="BK7" s="21">
        <v>0</v>
      </c>
      <c r="BL7" s="21">
        <v>1</v>
      </c>
    </row>
    <row r="8" spans="1:64" ht="14.25" customHeight="1" x14ac:dyDescent="0.55000000000000004">
      <c r="A8" s="23">
        <v>5</v>
      </c>
      <c r="B8" s="23">
        <v>1622</v>
      </c>
      <c r="C8" s="23">
        <f t="shared" ref="C8:D8" si="4">SUM(F8,I8,L8,O8,R8,U8,X8,AA8,AD8,AG8,AJ8,AM8,AP8,AS8,AV8,AY8,BB8,BE8,BH8,BK8)</f>
        <v>720</v>
      </c>
      <c r="D8" s="23">
        <f t="shared" si="4"/>
        <v>902</v>
      </c>
      <c r="E8" s="23">
        <v>109</v>
      </c>
      <c r="F8" s="23">
        <v>58</v>
      </c>
      <c r="G8" s="23">
        <v>51</v>
      </c>
      <c r="H8" s="23">
        <v>127</v>
      </c>
      <c r="I8" s="23">
        <v>74</v>
      </c>
      <c r="J8" s="23">
        <v>53</v>
      </c>
      <c r="K8" s="23">
        <v>116</v>
      </c>
      <c r="L8" s="23">
        <v>63</v>
      </c>
      <c r="M8" s="23">
        <v>53</v>
      </c>
      <c r="N8" s="23">
        <v>119</v>
      </c>
      <c r="O8" s="23">
        <v>56</v>
      </c>
      <c r="P8" s="23">
        <v>63</v>
      </c>
      <c r="Q8" s="23">
        <v>101</v>
      </c>
      <c r="R8" s="23">
        <v>41</v>
      </c>
      <c r="S8" s="23">
        <v>60</v>
      </c>
      <c r="T8" s="23">
        <v>98</v>
      </c>
      <c r="U8" s="23">
        <v>31</v>
      </c>
      <c r="V8" s="23">
        <v>67</v>
      </c>
      <c r="W8" s="23">
        <v>100</v>
      </c>
      <c r="X8" s="23">
        <v>31</v>
      </c>
      <c r="Y8" s="23">
        <v>69</v>
      </c>
      <c r="Z8" s="23">
        <v>86</v>
      </c>
      <c r="AA8" s="23">
        <v>32</v>
      </c>
      <c r="AB8" s="23">
        <v>54</v>
      </c>
      <c r="AC8" s="23">
        <v>78</v>
      </c>
      <c r="AD8" s="23">
        <v>28</v>
      </c>
      <c r="AE8" s="23">
        <v>50</v>
      </c>
      <c r="AF8" s="23">
        <v>107</v>
      </c>
      <c r="AG8" s="23">
        <v>44</v>
      </c>
      <c r="AH8" s="23">
        <v>63</v>
      </c>
      <c r="AI8" s="23">
        <v>102</v>
      </c>
      <c r="AJ8" s="23">
        <v>45</v>
      </c>
      <c r="AK8" s="23">
        <v>57</v>
      </c>
      <c r="AL8" s="23">
        <v>105</v>
      </c>
      <c r="AM8" s="23">
        <v>42</v>
      </c>
      <c r="AN8" s="23">
        <v>63</v>
      </c>
      <c r="AO8" s="23">
        <v>106</v>
      </c>
      <c r="AP8" s="23">
        <v>50</v>
      </c>
      <c r="AQ8" s="23">
        <v>56</v>
      </c>
      <c r="AR8" s="23">
        <v>92</v>
      </c>
      <c r="AS8" s="23">
        <v>43</v>
      </c>
      <c r="AT8" s="23">
        <v>49</v>
      </c>
      <c r="AU8" s="23">
        <v>80</v>
      </c>
      <c r="AV8" s="23">
        <v>38</v>
      </c>
      <c r="AW8" s="23">
        <v>42</v>
      </c>
      <c r="AX8" s="23">
        <v>51</v>
      </c>
      <c r="AY8" s="23">
        <v>21</v>
      </c>
      <c r="AZ8" s="23">
        <v>30</v>
      </c>
      <c r="BA8" s="23">
        <v>27</v>
      </c>
      <c r="BB8" s="23">
        <v>12</v>
      </c>
      <c r="BC8" s="23">
        <v>15</v>
      </c>
      <c r="BD8" s="23">
        <v>13</v>
      </c>
      <c r="BE8" s="23">
        <v>8</v>
      </c>
      <c r="BF8" s="23">
        <v>5</v>
      </c>
      <c r="BG8" s="23">
        <v>5</v>
      </c>
      <c r="BH8" s="23">
        <v>3</v>
      </c>
      <c r="BI8" s="23">
        <v>2</v>
      </c>
      <c r="BJ8" s="23">
        <v>0</v>
      </c>
      <c r="BK8" s="23">
        <v>0</v>
      </c>
      <c r="BL8" s="23">
        <v>0</v>
      </c>
    </row>
    <row r="9" spans="1:64" ht="14.25" customHeight="1" x14ac:dyDescent="0.55000000000000004">
      <c r="A9" s="23">
        <v>6</v>
      </c>
      <c r="B9" s="23">
        <v>2746</v>
      </c>
      <c r="C9" s="23">
        <f t="shared" ref="C9:D9" si="5">SUM(F9,I9,L9,O9,R9,U9,X9,AA9,AD9,AG9,AJ9,AM9,AP9,AS9,AV9,AY9,BB9,BE9,BH9,BK9)</f>
        <v>1208</v>
      </c>
      <c r="D9" s="23">
        <f t="shared" si="5"/>
        <v>1538</v>
      </c>
      <c r="E9" s="23">
        <v>179</v>
      </c>
      <c r="F9" s="23">
        <v>96</v>
      </c>
      <c r="G9" s="23">
        <v>83</v>
      </c>
      <c r="H9" s="23">
        <v>176</v>
      </c>
      <c r="I9" s="23">
        <v>104</v>
      </c>
      <c r="J9" s="23">
        <v>72</v>
      </c>
      <c r="K9" s="23">
        <v>186</v>
      </c>
      <c r="L9" s="23">
        <v>101</v>
      </c>
      <c r="M9" s="23">
        <v>85</v>
      </c>
      <c r="N9" s="23">
        <v>180</v>
      </c>
      <c r="O9" s="23">
        <v>97</v>
      </c>
      <c r="P9" s="23">
        <v>83</v>
      </c>
      <c r="Q9" s="23">
        <v>186</v>
      </c>
      <c r="R9" s="23">
        <v>76</v>
      </c>
      <c r="S9" s="23">
        <v>110</v>
      </c>
      <c r="T9" s="23">
        <v>140</v>
      </c>
      <c r="U9" s="23">
        <v>44</v>
      </c>
      <c r="V9" s="23">
        <v>96</v>
      </c>
      <c r="W9" s="23">
        <v>176</v>
      </c>
      <c r="X9" s="23">
        <v>58</v>
      </c>
      <c r="Y9" s="23">
        <v>118</v>
      </c>
      <c r="Z9" s="23">
        <v>154</v>
      </c>
      <c r="AA9" s="23">
        <v>67</v>
      </c>
      <c r="AB9" s="23">
        <v>87</v>
      </c>
      <c r="AC9" s="23">
        <v>160</v>
      </c>
      <c r="AD9" s="23">
        <v>63</v>
      </c>
      <c r="AE9" s="23">
        <v>97</v>
      </c>
      <c r="AF9" s="23">
        <v>180</v>
      </c>
      <c r="AG9" s="23">
        <v>70</v>
      </c>
      <c r="AH9" s="23">
        <v>110</v>
      </c>
      <c r="AI9" s="23">
        <v>168</v>
      </c>
      <c r="AJ9" s="23">
        <v>73</v>
      </c>
      <c r="AK9" s="23">
        <v>95</v>
      </c>
      <c r="AL9" s="23">
        <v>184</v>
      </c>
      <c r="AM9" s="23">
        <v>82</v>
      </c>
      <c r="AN9" s="23">
        <v>102</v>
      </c>
      <c r="AO9" s="23">
        <v>169</v>
      </c>
      <c r="AP9" s="23">
        <v>70</v>
      </c>
      <c r="AQ9" s="23">
        <v>99</v>
      </c>
      <c r="AR9" s="23">
        <v>167</v>
      </c>
      <c r="AS9" s="23">
        <v>65</v>
      </c>
      <c r="AT9" s="23">
        <v>102</v>
      </c>
      <c r="AU9" s="23">
        <v>142</v>
      </c>
      <c r="AV9" s="23">
        <v>58</v>
      </c>
      <c r="AW9" s="23">
        <v>84</v>
      </c>
      <c r="AX9" s="23">
        <v>114</v>
      </c>
      <c r="AY9" s="23">
        <v>49</v>
      </c>
      <c r="AZ9" s="23">
        <v>65</v>
      </c>
      <c r="BA9" s="23">
        <v>54</v>
      </c>
      <c r="BB9" s="23">
        <v>23</v>
      </c>
      <c r="BC9" s="23">
        <v>31</v>
      </c>
      <c r="BD9" s="23">
        <v>20</v>
      </c>
      <c r="BE9" s="23">
        <v>9</v>
      </c>
      <c r="BF9" s="23">
        <v>11</v>
      </c>
      <c r="BG9" s="23">
        <v>10</v>
      </c>
      <c r="BH9" s="23">
        <v>3</v>
      </c>
      <c r="BI9" s="23">
        <v>7</v>
      </c>
      <c r="BJ9" s="23">
        <v>1</v>
      </c>
      <c r="BK9" s="23">
        <v>0</v>
      </c>
      <c r="BL9" s="23">
        <v>1</v>
      </c>
    </row>
    <row r="10" spans="1:64" ht="14.25" customHeight="1" x14ac:dyDescent="0.55000000000000004">
      <c r="A10" s="21">
        <v>7</v>
      </c>
      <c r="B10" s="21">
        <v>2678</v>
      </c>
      <c r="C10" s="21">
        <f t="shared" ref="C10:D10" si="6">SUM(F10,I10,L10,O10,R10,U10,X10,AA10,AD10,AG10,AJ10,AM10,AP10,AS10,AV10,AY10,BB10,BE10,BH10,BK10)</f>
        <v>1163</v>
      </c>
      <c r="D10" s="21">
        <f t="shared" si="6"/>
        <v>1515</v>
      </c>
      <c r="E10" s="21">
        <v>175</v>
      </c>
      <c r="F10" s="21">
        <v>93</v>
      </c>
      <c r="G10" s="21">
        <v>82</v>
      </c>
      <c r="H10" s="21">
        <v>180</v>
      </c>
      <c r="I10" s="21">
        <v>102</v>
      </c>
      <c r="J10" s="21">
        <v>78</v>
      </c>
      <c r="K10" s="21">
        <v>192</v>
      </c>
      <c r="L10" s="21">
        <v>99</v>
      </c>
      <c r="M10" s="21">
        <v>93</v>
      </c>
      <c r="N10" s="21">
        <v>178</v>
      </c>
      <c r="O10" s="21">
        <v>88</v>
      </c>
      <c r="P10" s="21">
        <v>90</v>
      </c>
      <c r="Q10" s="21">
        <v>176</v>
      </c>
      <c r="R10" s="21">
        <v>69</v>
      </c>
      <c r="S10" s="21">
        <v>107</v>
      </c>
      <c r="T10" s="21">
        <v>148</v>
      </c>
      <c r="U10" s="21">
        <v>45</v>
      </c>
      <c r="V10" s="21">
        <v>103</v>
      </c>
      <c r="W10" s="21">
        <v>150</v>
      </c>
      <c r="X10" s="21">
        <v>49</v>
      </c>
      <c r="Y10" s="21">
        <v>101</v>
      </c>
      <c r="Z10" s="21">
        <v>137</v>
      </c>
      <c r="AA10" s="21">
        <v>44</v>
      </c>
      <c r="AB10" s="21">
        <v>93</v>
      </c>
      <c r="AC10" s="21">
        <v>159</v>
      </c>
      <c r="AD10" s="21">
        <v>62</v>
      </c>
      <c r="AE10" s="21">
        <v>97</v>
      </c>
      <c r="AF10" s="21">
        <v>129</v>
      </c>
      <c r="AG10" s="21">
        <v>53</v>
      </c>
      <c r="AH10" s="21">
        <v>76</v>
      </c>
      <c r="AI10" s="21">
        <v>166</v>
      </c>
      <c r="AJ10" s="21">
        <v>61</v>
      </c>
      <c r="AK10" s="21">
        <v>105</v>
      </c>
      <c r="AL10" s="21">
        <v>192</v>
      </c>
      <c r="AM10" s="21">
        <v>85</v>
      </c>
      <c r="AN10" s="21">
        <v>107</v>
      </c>
      <c r="AO10" s="21">
        <v>179</v>
      </c>
      <c r="AP10" s="21">
        <v>78</v>
      </c>
      <c r="AQ10" s="21">
        <v>101</v>
      </c>
      <c r="AR10" s="21">
        <v>181</v>
      </c>
      <c r="AS10" s="21">
        <v>79</v>
      </c>
      <c r="AT10" s="21">
        <v>102</v>
      </c>
      <c r="AU10" s="21">
        <v>144</v>
      </c>
      <c r="AV10" s="21">
        <v>66</v>
      </c>
      <c r="AW10" s="21">
        <v>78</v>
      </c>
      <c r="AX10" s="21">
        <v>99</v>
      </c>
      <c r="AY10" s="21">
        <v>47</v>
      </c>
      <c r="AZ10" s="21">
        <v>52</v>
      </c>
      <c r="BA10" s="21">
        <v>56</v>
      </c>
      <c r="BB10" s="21">
        <v>29</v>
      </c>
      <c r="BC10" s="21">
        <v>27</v>
      </c>
      <c r="BD10" s="21">
        <v>26</v>
      </c>
      <c r="BE10" s="21">
        <v>12</v>
      </c>
      <c r="BF10" s="21">
        <v>14</v>
      </c>
      <c r="BG10" s="21">
        <v>9</v>
      </c>
      <c r="BH10" s="21">
        <v>2</v>
      </c>
      <c r="BI10" s="21">
        <v>7</v>
      </c>
      <c r="BJ10" s="21">
        <v>2</v>
      </c>
      <c r="BK10" s="21">
        <v>0</v>
      </c>
      <c r="BL10" s="21">
        <v>2</v>
      </c>
    </row>
    <row r="11" spans="1:64" ht="14.25" customHeight="1" x14ac:dyDescent="0.55000000000000004">
      <c r="A11" s="21">
        <v>8</v>
      </c>
      <c r="B11" s="21">
        <v>1798</v>
      </c>
      <c r="C11" s="21">
        <f t="shared" ref="C11:D11" si="7">SUM(F11,I11,L11,O11,R11,U11,X11,AA11,AD11,AG11,AJ11,AM11,AP11,AS11,AV11,AY11,BB11,BE11,BH11,BK11)</f>
        <v>779</v>
      </c>
      <c r="D11" s="21">
        <f t="shared" si="7"/>
        <v>1019</v>
      </c>
      <c r="E11" s="21">
        <v>104</v>
      </c>
      <c r="F11" s="21">
        <v>55</v>
      </c>
      <c r="G11" s="21">
        <v>49</v>
      </c>
      <c r="H11" s="21">
        <v>116</v>
      </c>
      <c r="I11" s="21">
        <v>59</v>
      </c>
      <c r="J11" s="21">
        <v>57</v>
      </c>
      <c r="K11" s="21">
        <v>131</v>
      </c>
      <c r="L11" s="21">
        <v>63</v>
      </c>
      <c r="M11" s="21">
        <v>68</v>
      </c>
      <c r="N11" s="21">
        <v>139</v>
      </c>
      <c r="O11" s="21">
        <v>72</v>
      </c>
      <c r="P11" s="21">
        <v>67</v>
      </c>
      <c r="Q11" s="21">
        <v>104</v>
      </c>
      <c r="R11" s="21">
        <v>43</v>
      </c>
      <c r="S11" s="21">
        <v>61</v>
      </c>
      <c r="T11" s="21">
        <v>83</v>
      </c>
      <c r="U11" s="21">
        <v>24</v>
      </c>
      <c r="V11" s="21">
        <v>59</v>
      </c>
      <c r="W11" s="21">
        <v>91</v>
      </c>
      <c r="X11" s="21">
        <v>31</v>
      </c>
      <c r="Y11" s="21">
        <v>60</v>
      </c>
      <c r="Z11" s="21">
        <v>91</v>
      </c>
      <c r="AA11" s="21">
        <v>31</v>
      </c>
      <c r="AB11" s="21">
        <v>60</v>
      </c>
      <c r="AC11" s="21">
        <v>88</v>
      </c>
      <c r="AD11" s="21">
        <v>32</v>
      </c>
      <c r="AE11" s="21">
        <v>56</v>
      </c>
      <c r="AF11" s="21">
        <v>100</v>
      </c>
      <c r="AG11" s="21">
        <v>37</v>
      </c>
      <c r="AH11" s="21">
        <v>63</v>
      </c>
      <c r="AI11" s="21">
        <v>111</v>
      </c>
      <c r="AJ11" s="21">
        <v>46</v>
      </c>
      <c r="AK11" s="21">
        <v>65</v>
      </c>
      <c r="AL11" s="21">
        <v>136</v>
      </c>
      <c r="AM11" s="21">
        <v>62</v>
      </c>
      <c r="AN11" s="21">
        <v>74</v>
      </c>
      <c r="AO11" s="21">
        <v>129</v>
      </c>
      <c r="AP11" s="21">
        <v>52</v>
      </c>
      <c r="AQ11" s="21">
        <v>77</v>
      </c>
      <c r="AR11" s="21">
        <v>117</v>
      </c>
      <c r="AS11" s="21">
        <v>50</v>
      </c>
      <c r="AT11" s="21">
        <v>67</v>
      </c>
      <c r="AU11" s="21">
        <v>98</v>
      </c>
      <c r="AV11" s="21">
        <v>48</v>
      </c>
      <c r="AW11" s="21">
        <v>50</v>
      </c>
      <c r="AX11" s="21">
        <v>83</v>
      </c>
      <c r="AY11" s="21">
        <v>38</v>
      </c>
      <c r="AZ11" s="21">
        <v>45</v>
      </c>
      <c r="BA11" s="21">
        <v>47</v>
      </c>
      <c r="BB11" s="21">
        <v>24</v>
      </c>
      <c r="BC11" s="21">
        <v>23</v>
      </c>
      <c r="BD11" s="21">
        <v>20</v>
      </c>
      <c r="BE11" s="21">
        <v>9</v>
      </c>
      <c r="BF11" s="21">
        <v>11</v>
      </c>
      <c r="BG11" s="21">
        <v>8</v>
      </c>
      <c r="BH11" s="21">
        <v>3</v>
      </c>
      <c r="BI11" s="21">
        <v>5</v>
      </c>
      <c r="BJ11" s="21">
        <v>2</v>
      </c>
      <c r="BK11" s="21">
        <v>0</v>
      </c>
      <c r="BL11" s="21">
        <v>2</v>
      </c>
    </row>
    <row r="12" spans="1:64" ht="14.25" customHeight="1" x14ac:dyDescent="0.55000000000000004">
      <c r="A12" s="21">
        <v>9</v>
      </c>
      <c r="B12" s="21">
        <v>1850</v>
      </c>
      <c r="C12" s="21">
        <f t="shared" ref="C12:D12" si="8">SUM(F12,I12,L12,O12,R12,U12,X12,AA12,AD12,AG12,AJ12,AM12,AP12,AS12,AV12,AY12,BB12,BE12,BH12,BK12)</f>
        <v>814</v>
      </c>
      <c r="D12" s="21">
        <f t="shared" si="8"/>
        <v>1036</v>
      </c>
      <c r="E12" s="21">
        <v>75</v>
      </c>
      <c r="F12" s="21">
        <v>40</v>
      </c>
      <c r="G12" s="21">
        <v>35</v>
      </c>
      <c r="H12" s="21">
        <v>107</v>
      </c>
      <c r="I12" s="21">
        <v>61</v>
      </c>
      <c r="J12" s="21">
        <v>46</v>
      </c>
      <c r="K12" s="21">
        <v>108</v>
      </c>
      <c r="L12" s="21">
        <v>51</v>
      </c>
      <c r="M12" s="21">
        <v>57</v>
      </c>
      <c r="N12" s="21">
        <v>134</v>
      </c>
      <c r="O12" s="21">
        <v>66</v>
      </c>
      <c r="P12" s="21">
        <v>68</v>
      </c>
      <c r="Q12" s="21">
        <v>88</v>
      </c>
      <c r="R12" s="21">
        <v>41</v>
      </c>
      <c r="S12" s="21">
        <v>47</v>
      </c>
      <c r="T12" s="21">
        <v>56</v>
      </c>
      <c r="U12" s="21">
        <v>16</v>
      </c>
      <c r="V12" s="21">
        <v>40</v>
      </c>
      <c r="W12" s="21">
        <v>65</v>
      </c>
      <c r="X12" s="21">
        <v>21</v>
      </c>
      <c r="Y12" s="21">
        <v>44</v>
      </c>
      <c r="Z12" s="21">
        <v>85</v>
      </c>
      <c r="AA12" s="21">
        <v>29</v>
      </c>
      <c r="AB12" s="21">
        <v>56</v>
      </c>
      <c r="AC12" s="21">
        <v>91</v>
      </c>
      <c r="AD12" s="21">
        <v>31</v>
      </c>
      <c r="AE12" s="21">
        <v>60</v>
      </c>
      <c r="AF12" s="21">
        <v>114</v>
      </c>
      <c r="AG12" s="21">
        <v>50</v>
      </c>
      <c r="AH12" s="21">
        <v>64</v>
      </c>
      <c r="AI12" s="21">
        <v>139</v>
      </c>
      <c r="AJ12" s="21">
        <v>54</v>
      </c>
      <c r="AK12" s="21">
        <v>85</v>
      </c>
      <c r="AL12" s="21">
        <v>179</v>
      </c>
      <c r="AM12" s="21">
        <v>75</v>
      </c>
      <c r="AN12" s="21">
        <v>104</v>
      </c>
      <c r="AO12" s="21">
        <v>168</v>
      </c>
      <c r="AP12" s="21">
        <v>81</v>
      </c>
      <c r="AQ12" s="21">
        <v>87</v>
      </c>
      <c r="AR12" s="21">
        <v>152</v>
      </c>
      <c r="AS12" s="21">
        <v>68</v>
      </c>
      <c r="AT12" s="21">
        <v>84</v>
      </c>
      <c r="AU12" s="21">
        <v>123</v>
      </c>
      <c r="AV12" s="21">
        <v>57</v>
      </c>
      <c r="AW12" s="21">
        <v>66</v>
      </c>
      <c r="AX12" s="21">
        <v>84</v>
      </c>
      <c r="AY12" s="21">
        <v>36</v>
      </c>
      <c r="AZ12" s="21">
        <v>48</v>
      </c>
      <c r="BA12" s="21">
        <v>51</v>
      </c>
      <c r="BB12" s="21">
        <v>24</v>
      </c>
      <c r="BC12" s="21">
        <v>27</v>
      </c>
      <c r="BD12" s="21">
        <v>19</v>
      </c>
      <c r="BE12" s="21">
        <v>9</v>
      </c>
      <c r="BF12" s="21">
        <v>10</v>
      </c>
      <c r="BG12" s="21">
        <v>9</v>
      </c>
      <c r="BH12" s="21">
        <v>4</v>
      </c>
      <c r="BI12" s="21">
        <v>5</v>
      </c>
      <c r="BJ12" s="21">
        <v>3</v>
      </c>
      <c r="BK12" s="21">
        <v>0</v>
      </c>
      <c r="BL12" s="21">
        <v>3</v>
      </c>
    </row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>
      <c r="A15" s="23" t="s">
        <v>145</v>
      </c>
      <c r="B15" s="23">
        <f t="shared" ref="B15:D15" si="9">SUM(B5,B6,B8,B9)</f>
        <v>9694</v>
      </c>
      <c r="C15" s="23">
        <f t="shared" si="9"/>
        <v>4347</v>
      </c>
      <c r="D15" s="23">
        <f t="shared" si="9"/>
        <v>5347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</row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B3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000"/>
  <sheetViews>
    <sheetView tabSelected="1" workbookViewId="0">
      <selection activeCell="J28" sqref="J28"/>
    </sheetView>
  </sheetViews>
  <sheetFormatPr defaultColWidth="14.41796875" defaultRowHeight="15" customHeight="1" x14ac:dyDescent="0.55000000000000004"/>
  <cols>
    <col min="1" max="1" width="14.578125" customWidth="1"/>
    <col min="2" max="64" width="10" customWidth="1"/>
  </cols>
  <sheetData>
    <row r="1" spans="1:64" ht="14.25" customHeight="1" x14ac:dyDescent="0.6">
      <c r="A1" s="56" t="s">
        <v>146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4"/>
    </row>
    <row r="2" spans="1:64" ht="14.25" customHeight="1" x14ac:dyDescent="0.55000000000000004">
      <c r="A2" s="54" t="s">
        <v>10</v>
      </c>
      <c r="B2" s="54" t="s">
        <v>119</v>
      </c>
      <c r="C2" s="55"/>
      <c r="D2" s="55"/>
      <c r="E2" s="54" t="s">
        <v>16</v>
      </c>
      <c r="F2" s="55"/>
      <c r="G2" s="55"/>
      <c r="H2" s="54" t="s">
        <v>17</v>
      </c>
      <c r="I2" s="55"/>
      <c r="J2" s="55"/>
      <c r="K2" s="54" t="s">
        <v>18</v>
      </c>
      <c r="L2" s="55"/>
      <c r="M2" s="55"/>
      <c r="N2" s="54" t="s">
        <v>19</v>
      </c>
      <c r="O2" s="55"/>
      <c r="P2" s="55"/>
      <c r="Q2" s="54" t="s">
        <v>20</v>
      </c>
      <c r="R2" s="55"/>
      <c r="S2" s="55"/>
      <c r="T2" s="54" t="s">
        <v>21</v>
      </c>
      <c r="U2" s="55"/>
      <c r="V2" s="55"/>
      <c r="W2" s="54" t="s">
        <v>22</v>
      </c>
      <c r="X2" s="55"/>
      <c r="Y2" s="55"/>
      <c r="Z2" s="54" t="s">
        <v>23</v>
      </c>
      <c r="AA2" s="55"/>
      <c r="AB2" s="55"/>
      <c r="AC2" s="54" t="s">
        <v>24</v>
      </c>
      <c r="AD2" s="55"/>
      <c r="AE2" s="55"/>
      <c r="AF2" s="54" t="s">
        <v>25</v>
      </c>
      <c r="AG2" s="55"/>
      <c r="AH2" s="55"/>
      <c r="AI2" s="54" t="s">
        <v>26</v>
      </c>
      <c r="AJ2" s="55"/>
      <c r="AK2" s="55"/>
      <c r="AL2" s="54" t="s">
        <v>27</v>
      </c>
      <c r="AM2" s="55"/>
      <c r="AN2" s="55"/>
      <c r="AO2" s="54" t="s">
        <v>28</v>
      </c>
      <c r="AP2" s="55"/>
      <c r="AQ2" s="55"/>
      <c r="AR2" s="54" t="s">
        <v>29</v>
      </c>
      <c r="AS2" s="55"/>
      <c r="AT2" s="55"/>
      <c r="AU2" s="54" t="s">
        <v>30</v>
      </c>
      <c r="AV2" s="55"/>
      <c r="AW2" s="55"/>
      <c r="AX2" s="54" t="s">
        <v>31</v>
      </c>
      <c r="AY2" s="55"/>
      <c r="AZ2" s="55"/>
      <c r="BA2" s="54" t="s">
        <v>32</v>
      </c>
      <c r="BB2" s="55"/>
      <c r="BC2" s="55"/>
      <c r="BD2" s="54" t="s">
        <v>33</v>
      </c>
      <c r="BE2" s="55"/>
      <c r="BF2" s="55"/>
      <c r="BG2" s="54" t="s">
        <v>34</v>
      </c>
      <c r="BH2" s="55"/>
      <c r="BI2" s="55"/>
      <c r="BJ2" s="54" t="s">
        <v>35</v>
      </c>
      <c r="BK2" s="55"/>
      <c r="BL2" s="55"/>
    </row>
    <row r="3" spans="1:64" ht="14.25" customHeight="1" x14ac:dyDescent="0.55000000000000004">
      <c r="A3" s="55"/>
      <c r="B3" s="10" t="s">
        <v>12</v>
      </c>
      <c r="C3" s="6" t="s">
        <v>37</v>
      </c>
      <c r="D3" s="6" t="s">
        <v>38</v>
      </c>
      <c r="E3" s="6" t="s">
        <v>12</v>
      </c>
      <c r="F3" s="6" t="s">
        <v>37</v>
      </c>
      <c r="G3" s="6" t="s">
        <v>38</v>
      </c>
      <c r="H3" s="6" t="s">
        <v>12</v>
      </c>
      <c r="I3" s="6" t="s">
        <v>37</v>
      </c>
      <c r="J3" s="6" t="s">
        <v>38</v>
      </c>
      <c r="K3" s="6" t="s">
        <v>12</v>
      </c>
      <c r="L3" s="6" t="s">
        <v>37</v>
      </c>
      <c r="M3" s="6" t="s">
        <v>38</v>
      </c>
      <c r="N3" s="6" t="s">
        <v>12</v>
      </c>
      <c r="O3" s="6" t="s">
        <v>37</v>
      </c>
      <c r="P3" s="6" t="s">
        <v>38</v>
      </c>
      <c r="Q3" s="6" t="s">
        <v>12</v>
      </c>
      <c r="R3" s="6" t="s">
        <v>37</v>
      </c>
      <c r="S3" s="6" t="s">
        <v>38</v>
      </c>
      <c r="T3" s="6" t="s">
        <v>12</v>
      </c>
      <c r="U3" s="6" t="s">
        <v>37</v>
      </c>
      <c r="V3" s="6" t="s">
        <v>38</v>
      </c>
      <c r="W3" s="6" t="s">
        <v>12</v>
      </c>
      <c r="X3" s="6" t="s">
        <v>37</v>
      </c>
      <c r="Y3" s="6" t="s">
        <v>38</v>
      </c>
      <c r="Z3" s="6" t="s">
        <v>12</v>
      </c>
      <c r="AA3" s="6" t="s">
        <v>37</v>
      </c>
      <c r="AB3" s="6" t="s">
        <v>38</v>
      </c>
      <c r="AC3" s="6" t="s">
        <v>12</v>
      </c>
      <c r="AD3" s="6" t="s">
        <v>37</v>
      </c>
      <c r="AE3" s="6" t="s">
        <v>38</v>
      </c>
      <c r="AF3" s="6" t="s">
        <v>12</v>
      </c>
      <c r="AG3" s="6" t="s">
        <v>37</v>
      </c>
      <c r="AH3" s="6" t="s">
        <v>38</v>
      </c>
      <c r="AI3" s="6" t="s">
        <v>12</v>
      </c>
      <c r="AJ3" s="6" t="s">
        <v>37</v>
      </c>
      <c r="AK3" s="6" t="s">
        <v>38</v>
      </c>
      <c r="AL3" s="6" t="s">
        <v>12</v>
      </c>
      <c r="AM3" s="6" t="s">
        <v>37</v>
      </c>
      <c r="AN3" s="6" t="s">
        <v>38</v>
      </c>
      <c r="AO3" s="6" t="s">
        <v>12</v>
      </c>
      <c r="AP3" s="6" t="s">
        <v>37</v>
      </c>
      <c r="AQ3" s="6" t="s">
        <v>38</v>
      </c>
      <c r="AR3" s="6" t="s">
        <v>12</v>
      </c>
      <c r="AS3" s="6" t="s">
        <v>37</v>
      </c>
      <c r="AT3" s="6" t="s">
        <v>38</v>
      </c>
      <c r="AU3" s="6" t="s">
        <v>12</v>
      </c>
      <c r="AV3" s="6" t="s">
        <v>37</v>
      </c>
      <c r="AW3" s="6" t="s">
        <v>38</v>
      </c>
      <c r="AX3" s="6" t="s">
        <v>12</v>
      </c>
      <c r="AY3" s="6" t="s">
        <v>37</v>
      </c>
      <c r="AZ3" s="6" t="s">
        <v>38</v>
      </c>
      <c r="BA3" s="6" t="s">
        <v>12</v>
      </c>
      <c r="BB3" s="6" t="s">
        <v>37</v>
      </c>
      <c r="BC3" s="6" t="s">
        <v>38</v>
      </c>
      <c r="BD3" s="6" t="s">
        <v>12</v>
      </c>
      <c r="BE3" s="6" t="s">
        <v>37</v>
      </c>
      <c r="BF3" s="6" t="s">
        <v>38</v>
      </c>
      <c r="BG3" s="6" t="s">
        <v>12</v>
      </c>
      <c r="BH3" s="6" t="s">
        <v>37</v>
      </c>
      <c r="BI3" s="6" t="s">
        <v>38</v>
      </c>
      <c r="BJ3" s="6" t="s">
        <v>12</v>
      </c>
      <c r="BK3" s="6" t="s">
        <v>37</v>
      </c>
      <c r="BL3" s="6" t="s">
        <v>38</v>
      </c>
    </row>
    <row r="4" spans="1:64" ht="14.25" customHeight="1" x14ac:dyDescent="0.55000000000000004">
      <c r="A4" s="21">
        <v>1</v>
      </c>
      <c r="B4" s="21">
        <v>2931</v>
      </c>
      <c r="C4" s="21">
        <f t="shared" ref="C4:D4" si="0">SUM(F4,I4,L4,O4,R4,U4,X4,AA4,AD4,AG4,AJ4,AM4,AP4,AS4,AV4,AY4,BB4,BE4,BH4,BK4)</f>
        <v>1536</v>
      </c>
      <c r="D4" s="21">
        <f t="shared" si="0"/>
        <v>1395</v>
      </c>
      <c r="E4" s="21">
        <v>216</v>
      </c>
      <c r="F4" s="21">
        <v>116</v>
      </c>
      <c r="G4" s="21">
        <v>100</v>
      </c>
      <c r="H4" s="21">
        <v>414</v>
      </c>
      <c r="I4" s="21">
        <v>205</v>
      </c>
      <c r="J4" s="21">
        <v>209</v>
      </c>
      <c r="K4" s="21">
        <v>387</v>
      </c>
      <c r="L4" s="21">
        <v>203</v>
      </c>
      <c r="M4" s="21">
        <v>184</v>
      </c>
      <c r="N4" s="21">
        <v>358</v>
      </c>
      <c r="O4" s="21">
        <v>188</v>
      </c>
      <c r="P4" s="21">
        <v>170</v>
      </c>
      <c r="Q4" s="21">
        <v>237</v>
      </c>
      <c r="R4" s="21">
        <v>115</v>
      </c>
      <c r="S4" s="21">
        <v>122</v>
      </c>
      <c r="T4" s="21">
        <v>214</v>
      </c>
      <c r="U4" s="21">
        <v>106</v>
      </c>
      <c r="V4" s="21">
        <v>108</v>
      </c>
      <c r="W4" s="21">
        <v>209</v>
      </c>
      <c r="X4" s="21">
        <v>110</v>
      </c>
      <c r="Y4" s="21">
        <v>99</v>
      </c>
      <c r="Z4" s="21">
        <v>149</v>
      </c>
      <c r="AA4" s="21">
        <v>93</v>
      </c>
      <c r="AB4" s="21">
        <v>56</v>
      </c>
      <c r="AC4" s="21">
        <v>145</v>
      </c>
      <c r="AD4" s="21">
        <v>76</v>
      </c>
      <c r="AE4" s="21">
        <v>69</v>
      </c>
      <c r="AF4" s="21">
        <v>120</v>
      </c>
      <c r="AG4" s="21">
        <v>63</v>
      </c>
      <c r="AH4" s="21">
        <v>57</v>
      </c>
      <c r="AI4" s="21">
        <v>118</v>
      </c>
      <c r="AJ4" s="21">
        <v>68</v>
      </c>
      <c r="AK4" s="21">
        <v>50</v>
      </c>
      <c r="AL4" s="21">
        <v>108</v>
      </c>
      <c r="AM4" s="21">
        <v>64</v>
      </c>
      <c r="AN4" s="21">
        <v>44</v>
      </c>
      <c r="AO4" s="21">
        <v>88</v>
      </c>
      <c r="AP4" s="21">
        <v>50</v>
      </c>
      <c r="AQ4" s="21">
        <v>38</v>
      </c>
      <c r="AR4" s="21">
        <v>56</v>
      </c>
      <c r="AS4" s="21">
        <v>28</v>
      </c>
      <c r="AT4" s="21">
        <v>28</v>
      </c>
      <c r="AU4" s="21">
        <v>50</v>
      </c>
      <c r="AV4" s="21">
        <v>24</v>
      </c>
      <c r="AW4" s="21">
        <v>26</v>
      </c>
      <c r="AX4" s="21">
        <v>35</v>
      </c>
      <c r="AY4" s="21">
        <v>15</v>
      </c>
      <c r="AZ4" s="21">
        <v>20</v>
      </c>
      <c r="BA4" s="21">
        <v>16</v>
      </c>
      <c r="BB4" s="21">
        <v>6</v>
      </c>
      <c r="BC4" s="21">
        <v>10</v>
      </c>
      <c r="BD4" s="21">
        <v>10</v>
      </c>
      <c r="BE4" s="21">
        <v>5</v>
      </c>
      <c r="BF4" s="21">
        <v>5</v>
      </c>
      <c r="BG4" s="21">
        <v>1</v>
      </c>
      <c r="BH4" s="21">
        <v>1</v>
      </c>
      <c r="BI4" s="21">
        <v>0</v>
      </c>
      <c r="BJ4" s="21">
        <v>0</v>
      </c>
      <c r="BK4" s="21">
        <v>0</v>
      </c>
      <c r="BL4" s="21">
        <v>0</v>
      </c>
    </row>
    <row r="5" spans="1:64" ht="14.25" customHeight="1" x14ac:dyDescent="0.55000000000000004">
      <c r="A5" s="21">
        <v>2</v>
      </c>
      <c r="B5" s="21">
        <v>2829</v>
      </c>
      <c r="C5" s="21">
        <f t="shared" ref="C5:D5" si="1">SUM(F5,I5,L5,O5,R5,U5,X5,AA5,AD5,AG5,AJ5,AM5,AP5,AS5,AV5,AY5,BB5,BE5,BH5,BK5)</f>
        <v>1546</v>
      </c>
      <c r="D5" s="21">
        <f t="shared" si="1"/>
        <v>1283</v>
      </c>
      <c r="E5" s="21">
        <v>206</v>
      </c>
      <c r="F5" s="21">
        <v>111</v>
      </c>
      <c r="G5" s="21">
        <v>95</v>
      </c>
      <c r="H5" s="21">
        <v>293</v>
      </c>
      <c r="I5" s="21">
        <v>171</v>
      </c>
      <c r="J5" s="21">
        <v>122</v>
      </c>
      <c r="K5" s="21">
        <v>305</v>
      </c>
      <c r="L5" s="21">
        <v>158</v>
      </c>
      <c r="M5" s="21">
        <v>147</v>
      </c>
      <c r="N5" s="21">
        <v>316</v>
      </c>
      <c r="O5" s="21">
        <v>156</v>
      </c>
      <c r="P5" s="21">
        <v>160</v>
      </c>
      <c r="Q5" s="21">
        <v>268</v>
      </c>
      <c r="R5" s="21">
        <v>133</v>
      </c>
      <c r="S5" s="21">
        <v>135</v>
      </c>
      <c r="T5" s="21">
        <v>218</v>
      </c>
      <c r="U5" s="21">
        <v>119</v>
      </c>
      <c r="V5" s="21">
        <v>99</v>
      </c>
      <c r="W5" s="21">
        <v>207</v>
      </c>
      <c r="X5" s="21">
        <v>125</v>
      </c>
      <c r="Y5" s="21">
        <v>82</v>
      </c>
      <c r="Z5" s="21">
        <v>159</v>
      </c>
      <c r="AA5" s="21">
        <v>94</v>
      </c>
      <c r="AB5" s="21">
        <v>65</v>
      </c>
      <c r="AC5" s="21">
        <v>151</v>
      </c>
      <c r="AD5" s="21">
        <v>83</v>
      </c>
      <c r="AE5" s="21">
        <v>68</v>
      </c>
      <c r="AF5" s="21">
        <v>137</v>
      </c>
      <c r="AG5" s="21">
        <v>66</v>
      </c>
      <c r="AH5" s="21">
        <v>71</v>
      </c>
      <c r="AI5" s="21">
        <v>144</v>
      </c>
      <c r="AJ5" s="21">
        <v>88</v>
      </c>
      <c r="AK5" s="21">
        <v>56</v>
      </c>
      <c r="AL5" s="21">
        <v>131</v>
      </c>
      <c r="AM5" s="21">
        <v>80</v>
      </c>
      <c r="AN5" s="21">
        <v>51</v>
      </c>
      <c r="AO5" s="21">
        <v>95</v>
      </c>
      <c r="AP5" s="21">
        <v>53</v>
      </c>
      <c r="AQ5" s="21">
        <v>42</v>
      </c>
      <c r="AR5" s="21">
        <v>60</v>
      </c>
      <c r="AS5" s="21">
        <v>29</v>
      </c>
      <c r="AT5" s="21">
        <v>31</v>
      </c>
      <c r="AU5" s="21">
        <v>48</v>
      </c>
      <c r="AV5" s="21">
        <v>26</v>
      </c>
      <c r="AW5" s="21">
        <v>22</v>
      </c>
      <c r="AX5" s="21">
        <v>57</v>
      </c>
      <c r="AY5" s="21">
        <v>32</v>
      </c>
      <c r="AZ5" s="21">
        <v>25</v>
      </c>
      <c r="BA5" s="21">
        <v>22</v>
      </c>
      <c r="BB5" s="21">
        <v>14</v>
      </c>
      <c r="BC5" s="21">
        <v>8</v>
      </c>
      <c r="BD5" s="21">
        <v>9</v>
      </c>
      <c r="BE5" s="21">
        <v>5</v>
      </c>
      <c r="BF5" s="21">
        <v>4</v>
      </c>
      <c r="BG5" s="21">
        <v>3</v>
      </c>
      <c r="BH5" s="21">
        <v>3</v>
      </c>
      <c r="BI5" s="21">
        <v>0</v>
      </c>
      <c r="BJ5" s="21">
        <v>0</v>
      </c>
      <c r="BK5" s="21">
        <v>0</v>
      </c>
      <c r="BL5" s="21">
        <v>0</v>
      </c>
    </row>
    <row r="6" spans="1:64" ht="14.25" customHeight="1" x14ac:dyDescent="0.55000000000000004">
      <c r="A6" s="23">
        <v>3</v>
      </c>
      <c r="B6" s="23">
        <v>2678</v>
      </c>
      <c r="C6" s="23">
        <f t="shared" ref="C6:D6" si="2">SUM(F6,I6,L6,O6,R6,U6,X6,AA6,AD6,AG6,AJ6,AM6,AP6,AS6,AV6,AY6,BB6,BE6,BH6,BK6)</f>
        <v>1387</v>
      </c>
      <c r="D6" s="23">
        <f t="shared" si="2"/>
        <v>1291</v>
      </c>
      <c r="E6" s="23">
        <v>201</v>
      </c>
      <c r="F6" s="23">
        <v>109</v>
      </c>
      <c r="G6" s="23">
        <v>92</v>
      </c>
      <c r="H6" s="23">
        <v>209</v>
      </c>
      <c r="I6" s="23">
        <v>104</v>
      </c>
      <c r="J6" s="23">
        <v>105</v>
      </c>
      <c r="K6" s="23">
        <v>236</v>
      </c>
      <c r="L6" s="23">
        <v>119</v>
      </c>
      <c r="M6" s="23">
        <v>117</v>
      </c>
      <c r="N6" s="23">
        <v>216</v>
      </c>
      <c r="O6" s="23">
        <v>105</v>
      </c>
      <c r="P6" s="23">
        <v>111</v>
      </c>
      <c r="Q6" s="23">
        <v>192</v>
      </c>
      <c r="R6" s="23">
        <v>99</v>
      </c>
      <c r="S6" s="23">
        <v>93</v>
      </c>
      <c r="T6" s="23">
        <v>196</v>
      </c>
      <c r="U6" s="23">
        <v>93</v>
      </c>
      <c r="V6" s="23">
        <v>103</v>
      </c>
      <c r="W6" s="23">
        <v>219</v>
      </c>
      <c r="X6" s="23">
        <v>115</v>
      </c>
      <c r="Y6" s="23">
        <v>104</v>
      </c>
      <c r="Z6" s="23">
        <v>181</v>
      </c>
      <c r="AA6" s="23">
        <v>103</v>
      </c>
      <c r="AB6" s="23">
        <v>78</v>
      </c>
      <c r="AC6" s="23">
        <v>175</v>
      </c>
      <c r="AD6" s="23">
        <v>98</v>
      </c>
      <c r="AE6" s="23">
        <v>77</v>
      </c>
      <c r="AF6" s="23">
        <v>171</v>
      </c>
      <c r="AG6" s="23">
        <v>95</v>
      </c>
      <c r="AH6" s="23">
        <v>76</v>
      </c>
      <c r="AI6" s="23">
        <v>161</v>
      </c>
      <c r="AJ6" s="23">
        <v>83</v>
      </c>
      <c r="AK6" s="23">
        <v>78</v>
      </c>
      <c r="AL6" s="23">
        <v>148</v>
      </c>
      <c r="AM6" s="23">
        <v>84</v>
      </c>
      <c r="AN6" s="23">
        <v>64</v>
      </c>
      <c r="AO6" s="23">
        <v>99</v>
      </c>
      <c r="AP6" s="23">
        <v>58</v>
      </c>
      <c r="AQ6" s="23">
        <v>41</v>
      </c>
      <c r="AR6" s="23">
        <v>88</v>
      </c>
      <c r="AS6" s="23">
        <v>38</v>
      </c>
      <c r="AT6" s="23">
        <v>50</v>
      </c>
      <c r="AU6" s="23">
        <v>80</v>
      </c>
      <c r="AV6" s="23">
        <v>36</v>
      </c>
      <c r="AW6" s="23">
        <v>44</v>
      </c>
      <c r="AX6" s="23">
        <v>53</v>
      </c>
      <c r="AY6" s="23">
        <v>23</v>
      </c>
      <c r="AZ6" s="23">
        <v>30</v>
      </c>
      <c r="BA6" s="23">
        <v>28</v>
      </c>
      <c r="BB6" s="23">
        <v>14</v>
      </c>
      <c r="BC6" s="23">
        <v>14</v>
      </c>
      <c r="BD6" s="23">
        <v>15</v>
      </c>
      <c r="BE6" s="23">
        <v>8</v>
      </c>
      <c r="BF6" s="23">
        <v>7</v>
      </c>
      <c r="BG6" s="23">
        <v>8</v>
      </c>
      <c r="BH6" s="23">
        <v>3</v>
      </c>
      <c r="BI6" s="23">
        <v>5</v>
      </c>
      <c r="BJ6" s="23">
        <v>2</v>
      </c>
      <c r="BK6" s="23">
        <v>0</v>
      </c>
      <c r="BL6" s="23">
        <v>2</v>
      </c>
    </row>
    <row r="7" spans="1:64" ht="14.25" customHeight="1" x14ac:dyDescent="0.55000000000000004">
      <c r="A7" s="23">
        <v>4</v>
      </c>
      <c r="B7" s="23">
        <v>3630</v>
      </c>
      <c r="C7" s="23">
        <f t="shared" ref="C7:D7" si="3">SUM(F7,I7,L7,O7,R7,U7,X7,AA7,AD7,AG7,AJ7,AM7,AP7,AS7,AV7,AY7,BB7,BE7,BH7,BK7)</f>
        <v>1962</v>
      </c>
      <c r="D7" s="23">
        <f t="shared" si="3"/>
        <v>1668</v>
      </c>
      <c r="E7" s="23">
        <v>274</v>
      </c>
      <c r="F7" s="23">
        <v>148</v>
      </c>
      <c r="G7" s="23">
        <v>126</v>
      </c>
      <c r="H7" s="23">
        <v>303</v>
      </c>
      <c r="I7" s="23">
        <v>165</v>
      </c>
      <c r="J7" s="23">
        <v>138</v>
      </c>
      <c r="K7" s="23">
        <v>335</v>
      </c>
      <c r="L7" s="23">
        <v>189</v>
      </c>
      <c r="M7" s="23">
        <v>146</v>
      </c>
      <c r="N7" s="23">
        <v>314</v>
      </c>
      <c r="O7" s="23">
        <v>173</v>
      </c>
      <c r="P7" s="23">
        <v>141</v>
      </c>
      <c r="Q7" s="23">
        <v>278</v>
      </c>
      <c r="R7" s="23">
        <v>143</v>
      </c>
      <c r="S7" s="23">
        <v>135</v>
      </c>
      <c r="T7" s="23">
        <v>272</v>
      </c>
      <c r="U7" s="23">
        <v>141</v>
      </c>
      <c r="V7" s="23">
        <v>131</v>
      </c>
      <c r="W7" s="23">
        <v>324</v>
      </c>
      <c r="X7" s="23">
        <v>187</v>
      </c>
      <c r="Y7" s="23">
        <v>137</v>
      </c>
      <c r="Z7" s="23">
        <v>301</v>
      </c>
      <c r="AA7" s="23">
        <v>174</v>
      </c>
      <c r="AB7" s="23">
        <v>127</v>
      </c>
      <c r="AC7" s="23">
        <v>258</v>
      </c>
      <c r="AD7" s="23">
        <v>131</v>
      </c>
      <c r="AE7" s="23">
        <v>127</v>
      </c>
      <c r="AF7" s="23">
        <v>224</v>
      </c>
      <c r="AG7" s="23">
        <v>123</v>
      </c>
      <c r="AH7" s="23">
        <v>101</v>
      </c>
      <c r="AI7" s="23">
        <v>194</v>
      </c>
      <c r="AJ7" s="23">
        <v>111</v>
      </c>
      <c r="AK7" s="23">
        <v>83</v>
      </c>
      <c r="AL7" s="23">
        <v>151</v>
      </c>
      <c r="AM7" s="23">
        <v>87</v>
      </c>
      <c r="AN7" s="23">
        <v>64</v>
      </c>
      <c r="AO7" s="23">
        <v>132</v>
      </c>
      <c r="AP7" s="23">
        <v>69</v>
      </c>
      <c r="AQ7" s="23">
        <v>63</v>
      </c>
      <c r="AR7" s="23">
        <v>97</v>
      </c>
      <c r="AS7" s="23">
        <v>43</v>
      </c>
      <c r="AT7" s="23">
        <v>54</v>
      </c>
      <c r="AU7" s="23">
        <v>76</v>
      </c>
      <c r="AV7" s="23">
        <v>39</v>
      </c>
      <c r="AW7" s="23">
        <v>37</v>
      </c>
      <c r="AX7" s="23">
        <v>52</v>
      </c>
      <c r="AY7" s="23">
        <v>21</v>
      </c>
      <c r="AZ7" s="23">
        <v>31</v>
      </c>
      <c r="BA7" s="23">
        <v>25</v>
      </c>
      <c r="BB7" s="23">
        <v>9</v>
      </c>
      <c r="BC7" s="23">
        <v>16</v>
      </c>
      <c r="BD7" s="23">
        <v>11</v>
      </c>
      <c r="BE7" s="23">
        <v>5</v>
      </c>
      <c r="BF7" s="23">
        <v>6</v>
      </c>
      <c r="BG7" s="23">
        <v>9</v>
      </c>
      <c r="BH7" s="23">
        <v>4</v>
      </c>
      <c r="BI7" s="23">
        <v>5</v>
      </c>
      <c r="BJ7" s="23">
        <v>0</v>
      </c>
      <c r="BK7" s="23">
        <v>0</v>
      </c>
      <c r="BL7" s="23">
        <v>0</v>
      </c>
    </row>
    <row r="8" spans="1:64" ht="14.25" customHeight="1" x14ac:dyDescent="0.55000000000000004">
      <c r="A8" s="21">
        <v>5</v>
      </c>
      <c r="B8" s="21">
        <v>3041</v>
      </c>
      <c r="C8" s="21">
        <f t="shared" ref="C8:D8" si="4">SUM(F8,I8,L8,O8,R8,U8,X8,AA8,AD8,AG8,AJ8,AM8,AP8,AS8,AV8,AY8,BB8,BE8,BH8,BK8)</f>
        <v>1628</v>
      </c>
      <c r="D8" s="21">
        <f t="shared" si="4"/>
        <v>1413</v>
      </c>
      <c r="E8" s="21">
        <v>237</v>
      </c>
      <c r="F8" s="21">
        <v>128</v>
      </c>
      <c r="G8" s="21">
        <v>109</v>
      </c>
      <c r="H8" s="21">
        <v>245</v>
      </c>
      <c r="I8" s="21">
        <v>129</v>
      </c>
      <c r="J8" s="21">
        <v>116</v>
      </c>
      <c r="K8" s="21">
        <v>244</v>
      </c>
      <c r="L8" s="21">
        <v>132</v>
      </c>
      <c r="M8" s="21">
        <v>112</v>
      </c>
      <c r="N8" s="21">
        <v>247</v>
      </c>
      <c r="O8" s="21">
        <v>130</v>
      </c>
      <c r="P8" s="21">
        <v>117</v>
      </c>
      <c r="Q8" s="21">
        <v>263</v>
      </c>
      <c r="R8" s="21">
        <v>128</v>
      </c>
      <c r="S8" s="21">
        <v>135</v>
      </c>
      <c r="T8" s="21">
        <v>241</v>
      </c>
      <c r="U8" s="21">
        <v>118</v>
      </c>
      <c r="V8" s="21">
        <v>123</v>
      </c>
      <c r="W8" s="21">
        <v>236</v>
      </c>
      <c r="X8" s="21">
        <v>141</v>
      </c>
      <c r="Y8" s="21">
        <v>95</v>
      </c>
      <c r="Z8" s="21">
        <v>220</v>
      </c>
      <c r="AA8" s="21">
        <v>134</v>
      </c>
      <c r="AB8" s="21">
        <v>86</v>
      </c>
      <c r="AC8" s="21">
        <v>223</v>
      </c>
      <c r="AD8" s="21">
        <v>118</v>
      </c>
      <c r="AE8" s="21">
        <v>105</v>
      </c>
      <c r="AF8" s="21">
        <v>218</v>
      </c>
      <c r="AG8" s="21">
        <v>128</v>
      </c>
      <c r="AH8" s="21">
        <v>90</v>
      </c>
      <c r="AI8" s="21">
        <v>164</v>
      </c>
      <c r="AJ8" s="21">
        <v>94</v>
      </c>
      <c r="AK8" s="21">
        <v>70</v>
      </c>
      <c r="AL8" s="21">
        <v>142</v>
      </c>
      <c r="AM8" s="21">
        <v>75</v>
      </c>
      <c r="AN8" s="21">
        <v>67</v>
      </c>
      <c r="AO8" s="21">
        <v>113</v>
      </c>
      <c r="AP8" s="21">
        <v>58</v>
      </c>
      <c r="AQ8" s="21">
        <v>55</v>
      </c>
      <c r="AR8" s="21">
        <v>92</v>
      </c>
      <c r="AS8" s="21">
        <v>45</v>
      </c>
      <c r="AT8" s="21">
        <v>47</v>
      </c>
      <c r="AU8" s="21">
        <v>73</v>
      </c>
      <c r="AV8" s="21">
        <v>33</v>
      </c>
      <c r="AW8" s="21">
        <v>40</v>
      </c>
      <c r="AX8" s="21">
        <v>46</v>
      </c>
      <c r="AY8" s="21">
        <v>19</v>
      </c>
      <c r="AZ8" s="21">
        <v>27</v>
      </c>
      <c r="BA8" s="21">
        <v>22</v>
      </c>
      <c r="BB8" s="21">
        <v>10</v>
      </c>
      <c r="BC8" s="21">
        <v>12</v>
      </c>
      <c r="BD8" s="21">
        <v>10</v>
      </c>
      <c r="BE8" s="21">
        <v>5</v>
      </c>
      <c r="BF8" s="21">
        <v>5</v>
      </c>
      <c r="BG8" s="21">
        <v>5</v>
      </c>
      <c r="BH8" s="21">
        <v>3</v>
      </c>
      <c r="BI8" s="21">
        <v>2</v>
      </c>
      <c r="BJ8" s="21">
        <v>0</v>
      </c>
      <c r="BK8" s="21">
        <v>0</v>
      </c>
      <c r="BL8" s="21">
        <v>0</v>
      </c>
    </row>
    <row r="9" spans="1:64" ht="14.25" customHeight="1" x14ac:dyDescent="0.55000000000000004">
      <c r="A9" s="21">
        <v>6</v>
      </c>
      <c r="B9" s="21">
        <v>2575</v>
      </c>
      <c r="C9" s="21">
        <f t="shared" ref="C9:D9" si="5">SUM(F9,I9,L9,O9,R9,U9,X9,AA9,AD9,AG9,AJ9,AM9,AP9,AS9,AV9,AY9,BB9,BE9,BH9,BK9)</f>
        <v>1343</v>
      </c>
      <c r="D9" s="21">
        <f t="shared" si="5"/>
        <v>1232</v>
      </c>
      <c r="E9" s="21">
        <v>178</v>
      </c>
      <c r="F9" s="21">
        <v>96</v>
      </c>
      <c r="G9" s="21">
        <v>82</v>
      </c>
      <c r="H9" s="21">
        <v>257</v>
      </c>
      <c r="I9" s="21">
        <v>129</v>
      </c>
      <c r="J9" s="21">
        <v>128</v>
      </c>
      <c r="K9" s="21">
        <v>297</v>
      </c>
      <c r="L9" s="21">
        <v>156</v>
      </c>
      <c r="M9" s="21">
        <v>141</v>
      </c>
      <c r="N9" s="21">
        <v>273</v>
      </c>
      <c r="O9" s="21">
        <v>136</v>
      </c>
      <c r="P9" s="21">
        <v>137</v>
      </c>
      <c r="Q9" s="21">
        <v>211</v>
      </c>
      <c r="R9" s="21">
        <v>99</v>
      </c>
      <c r="S9" s="21">
        <v>112</v>
      </c>
      <c r="T9" s="21">
        <v>182</v>
      </c>
      <c r="U9" s="21">
        <v>96</v>
      </c>
      <c r="V9" s="21">
        <v>86</v>
      </c>
      <c r="W9" s="21">
        <v>171</v>
      </c>
      <c r="X9" s="21">
        <v>102</v>
      </c>
      <c r="Y9" s="21">
        <v>69</v>
      </c>
      <c r="Z9" s="21">
        <v>148</v>
      </c>
      <c r="AA9" s="21">
        <v>85</v>
      </c>
      <c r="AB9" s="21">
        <v>63</v>
      </c>
      <c r="AC9" s="21">
        <v>129</v>
      </c>
      <c r="AD9" s="21">
        <v>68</v>
      </c>
      <c r="AE9" s="21">
        <v>61</v>
      </c>
      <c r="AF9" s="21">
        <v>131</v>
      </c>
      <c r="AG9" s="21">
        <v>72</v>
      </c>
      <c r="AH9" s="21">
        <v>59</v>
      </c>
      <c r="AI9" s="21">
        <v>124</v>
      </c>
      <c r="AJ9" s="21">
        <v>63</v>
      </c>
      <c r="AK9" s="21">
        <v>61</v>
      </c>
      <c r="AL9" s="21">
        <v>142</v>
      </c>
      <c r="AM9" s="21">
        <v>70</v>
      </c>
      <c r="AN9" s="21">
        <v>72</v>
      </c>
      <c r="AO9" s="21">
        <v>115</v>
      </c>
      <c r="AP9" s="21">
        <v>64</v>
      </c>
      <c r="AQ9" s="21">
        <v>51</v>
      </c>
      <c r="AR9" s="21">
        <v>74</v>
      </c>
      <c r="AS9" s="21">
        <v>37</v>
      </c>
      <c r="AT9" s="21">
        <v>37</v>
      </c>
      <c r="AU9" s="21">
        <v>65</v>
      </c>
      <c r="AV9" s="21">
        <v>32</v>
      </c>
      <c r="AW9" s="21">
        <v>33</v>
      </c>
      <c r="AX9" s="21">
        <v>44</v>
      </c>
      <c r="AY9" s="21">
        <v>20</v>
      </c>
      <c r="AZ9" s="21">
        <v>24</v>
      </c>
      <c r="BA9" s="21">
        <v>20</v>
      </c>
      <c r="BB9" s="21">
        <v>11</v>
      </c>
      <c r="BC9" s="21">
        <v>9</v>
      </c>
      <c r="BD9" s="21">
        <v>10</v>
      </c>
      <c r="BE9" s="21">
        <v>5</v>
      </c>
      <c r="BF9" s="21">
        <v>5</v>
      </c>
      <c r="BG9" s="21">
        <v>4</v>
      </c>
      <c r="BH9" s="21">
        <v>2</v>
      </c>
      <c r="BI9" s="21">
        <v>2</v>
      </c>
      <c r="BJ9" s="21">
        <v>0</v>
      </c>
      <c r="BK9" s="21">
        <v>0</v>
      </c>
      <c r="BL9" s="21">
        <v>0</v>
      </c>
    </row>
    <row r="10" spans="1:64" ht="14.25" customHeight="1" x14ac:dyDescent="0.55000000000000004">
      <c r="A10" s="21">
        <v>7</v>
      </c>
      <c r="B10" s="21">
        <v>4595</v>
      </c>
      <c r="C10" s="21">
        <f t="shared" ref="C10:D10" si="6">SUM(F10,I10,L10,O10,R10,U10,X10,AA10,AD10,AG10,AJ10,AM10,AP10,AS10,AV10,AY10,BB10,BE10,BH10,BK10)</f>
        <v>2387</v>
      </c>
      <c r="D10" s="21">
        <f t="shared" si="6"/>
        <v>2208</v>
      </c>
      <c r="E10" s="21">
        <v>348</v>
      </c>
      <c r="F10" s="21">
        <v>188</v>
      </c>
      <c r="G10" s="21">
        <v>160</v>
      </c>
      <c r="H10" s="21">
        <v>433</v>
      </c>
      <c r="I10" s="21">
        <v>229</v>
      </c>
      <c r="J10" s="21">
        <v>204</v>
      </c>
      <c r="K10" s="21">
        <v>484</v>
      </c>
      <c r="L10" s="21">
        <v>241</v>
      </c>
      <c r="M10" s="21">
        <v>243</v>
      </c>
      <c r="N10" s="21">
        <v>484</v>
      </c>
      <c r="O10" s="21">
        <v>229</v>
      </c>
      <c r="P10" s="21">
        <v>255</v>
      </c>
      <c r="Q10" s="21">
        <v>367</v>
      </c>
      <c r="R10" s="21">
        <v>172</v>
      </c>
      <c r="S10" s="21">
        <v>195</v>
      </c>
      <c r="T10" s="21">
        <v>336</v>
      </c>
      <c r="U10" s="21">
        <v>160</v>
      </c>
      <c r="V10" s="21">
        <v>176</v>
      </c>
      <c r="W10" s="21">
        <v>330</v>
      </c>
      <c r="X10" s="21">
        <v>183</v>
      </c>
      <c r="Y10" s="21">
        <v>147</v>
      </c>
      <c r="Z10" s="21">
        <v>333</v>
      </c>
      <c r="AA10" s="21">
        <v>197</v>
      </c>
      <c r="AB10" s="21">
        <v>136</v>
      </c>
      <c r="AC10" s="21">
        <v>294</v>
      </c>
      <c r="AD10" s="21">
        <v>161</v>
      </c>
      <c r="AE10" s="21">
        <v>133</v>
      </c>
      <c r="AF10" s="21">
        <v>249</v>
      </c>
      <c r="AG10" s="21">
        <v>134</v>
      </c>
      <c r="AH10" s="21">
        <v>115</v>
      </c>
      <c r="AI10" s="21">
        <v>217</v>
      </c>
      <c r="AJ10" s="21">
        <v>125</v>
      </c>
      <c r="AK10" s="21">
        <v>92</v>
      </c>
      <c r="AL10" s="21">
        <v>199</v>
      </c>
      <c r="AM10" s="21">
        <v>107</v>
      </c>
      <c r="AN10" s="21">
        <v>92</v>
      </c>
      <c r="AO10" s="21">
        <v>159</v>
      </c>
      <c r="AP10" s="21">
        <v>85</v>
      </c>
      <c r="AQ10" s="21">
        <v>74</v>
      </c>
      <c r="AR10" s="21">
        <v>135</v>
      </c>
      <c r="AS10" s="21">
        <v>69</v>
      </c>
      <c r="AT10" s="21">
        <v>66</v>
      </c>
      <c r="AU10" s="21">
        <v>105</v>
      </c>
      <c r="AV10" s="21">
        <v>51</v>
      </c>
      <c r="AW10" s="21">
        <v>54</v>
      </c>
      <c r="AX10" s="21">
        <v>69</v>
      </c>
      <c r="AY10" s="21">
        <v>33</v>
      </c>
      <c r="AZ10" s="21">
        <v>36</v>
      </c>
      <c r="BA10" s="21">
        <v>34</v>
      </c>
      <c r="BB10" s="21">
        <v>16</v>
      </c>
      <c r="BC10" s="21">
        <v>18</v>
      </c>
      <c r="BD10" s="21">
        <v>11</v>
      </c>
      <c r="BE10" s="21">
        <v>5</v>
      </c>
      <c r="BF10" s="21">
        <v>6</v>
      </c>
      <c r="BG10" s="21">
        <v>7</v>
      </c>
      <c r="BH10" s="21">
        <v>2</v>
      </c>
      <c r="BI10" s="21">
        <v>5</v>
      </c>
      <c r="BJ10" s="21">
        <v>1</v>
      </c>
      <c r="BK10" s="21">
        <v>0</v>
      </c>
      <c r="BL10" s="21">
        <v>1</v>
      </c>
    </row>
    <row r="11" spans="1:64" ht="14.25" customHeight="1" x14ac:dyDescent="0.55000000000000004"/>
    <row r="12" spans="1:64" ht="14.25" customHeight="1" x14ac:dyDescent="0.55000000000000004">
      <c r="A12" s="23" t="s">
        <v>147</v>
      </c>
      <c r="B12" s="23">
        <f t="shared" ref="B12:D12" si="7">SUM(B6,B7)</f>
        <v>6308</v>
      </c>
      <c r="C12" s="23">
        <f t="shared" si="7"/>
        <v>3349</v>
      </c>
      <c r="D12" s="23">
        <f t="shared" si="7"/>
        <v>2959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</row>
    <row r="13" spans="1:64" ht="14.25" customHeight="1" x14ac:dyDescent="0.55000000000000004"/>
    <row r="14" spans="1:64" ht="14.25" customHeight="1" x14ac:dyDescent="0.55000000000000004"/>
    <row r="15" spans="1:64" ht="14.25" customHeight="1" x14ac:dyDescent="0.55000000000000004"/>
    <row r="16" spans="1:64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mergeCells count="23">
    <mergeCell ref="BG2:BI2"/>
    <mergeCell ref="BJ2:BL2"/>
    <mergeCell ref="AL2:AN2"/>
    <mergeCell ref="AO2:AQ2"/>
    <mergeCell ref="AR2:AT2"/>
    <mergeCell ref="AU2:AW2"/>
    <mergeCell ref="AX2:AZ2"/>
    <mergeCell ref="BA2:BC2"/>
    <mergeCell ref="BD2:BF2"/>
    <mergeCell ref="A1:B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Flash Appeal - Affected Pop</vt:lpstr>
      <vt:lpstr>Summary_Affected Wards</vt:lpstr>
      <vt:lpstr>Uttargaya RM_wardwise</vt:lpstr>
      <vt:lpstr>Gosaikunda RM-wardwise</vt:lpstr>
      <vt:lpstr>Aamachhodingmo RM</vt:lpstr>
      <vt:lpstr>Kalika RM</vt:lpstr>
      <vt:lpstr>Tarakheshwar RM</vt:lpstr>
      <vt:lpstr>Kispang Rural Mun-wardwise</vt:lpstr>
      <vt:lpstr>Bidur Mun_wardwise</vt:lpstr>
      <vt:lpstr>Belkotgadhi Mun-wardwise</vt:lpstr>
      <vt:lpstr>TripurasundariRM-wardwise</vt:lpstr>
      <vt:lpstr>Galchhi RM-wardwise</vt:lpstr>
      <vt:lpstr>Gajuri RM_wardwise</vt:lpstr>
      <vt:lpstr>Benighat RerangRM_wardwise</vt:lpstr>
      <vt:lpstr>Siddhalek RM</vt:lpstr>
      <vt:lpstr>Gandaki RM</vt:lpstr>
      <vt:lpstr>Devghat RM-wardwise</vt:lpstr>
      <vt:lpstr>Aanbu Khaireni RM-ward-wise</vt:lpstr>
      <vt:lpstr>SahidLakhan RM</vt:lpstr>
      <vt:lpstr>Ichchha Kamana RM-wardwise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Ng Yat Weng</cp:lastModifiedBy>
  <dcterms:created xsi:type="dcterms:W3CDTF">2026-08-31T08:59:59Z</dcterms:created>
  <dcterms:modified xsi:type="dcterms:W3CDTF">2026-09-11T11:18:15Z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0x0101005A03C9C1EDFFD94989C66BC5D1686E7B</vt:lpwstr>
  </property>
</Properties>
</file>